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Documents\ENTREVISTAS\prueba tectica\LULO BANK\PowerBI_and_Excel\"/>
    </mc:Choice>
  </mc:AlternateContent>
  <xr:revisionPtr revIDLastSave="0" documentId="13_ncr:1_{174B8A71-5801-4EC9-8DCB-75D78DDE202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Asesores" sheetId="1" r:id="rId1"/>
    <sheet name="Ventas" sheetId="2" r:id="rId2"/>
    <sheet name="Gafico(punto 5)" sheetId="8" state="hidden" r:id="rId3"/>
    <sheet name="Dashboard" sheetId="10" r:id="rId4"/>
    <sheet name="Formularios" sheetId="11" r:id="rId5"/>
    <sheet name="Hoja1" sheetId="13" state="hidden" r:id="rId6"/>
    <sheet name="Tablas dinamicas" sheetId="9" state="hidden" r:id="rId7"/>
  </sheets>
  <definedNames>
    <definedName name="SegmentaciónDeDatos_Asesor">#N/A</definedName>
    <definedName name="SegmentaciónDeDatos_Marca">#N/A</definedName>
    <definedName name="SegmentaciónDeDatos_Trimestres__Fecha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4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C4" i="10"/>
  <c r="D4" i="10"/>
  <c r="E4" i="10"/>
  <c r="A4" i="10"/>
  <c r="B4" i="10"/>
</calcChain>
</file>

<file path=xl/sharedStrings.xml><?xml version="1.0" encoding="utf-8"?>
<sst xmlns="http://schemas.openxmlformats.org/spreadsheetml/2006/main" count="578" uniqueCount="71">
  <si>
    <t>ID Asesor</t>
  </si>
  <si>
    <t>Nombre</t>
  </si>
  <si>
    <t>Ciudad</t>
  </si>
  <si>
    <t>Santiago Perez</t>
  </si>
  <si>
    <t>Bogotá</t>
  </si>
  <si>
    <t>Robert Castaño</t>
  </si>
  <si>
    <t>Calí</t>
  </si>
  <si>
    <t>Nicolas Sanchez</t>
  </si>
  <si>
    <t>Carolina Romero</t>
  </si>
  <si>
    <t>Vicky Ortiz</t>
  </si>
  <si>
    <t>Sandra Lopez</t>
  </si>
  <si>
    <t>Medellin</t>
  </si>
  <si>
    <t>Beatriz Osorio</t>
  </si>
  <si>
    <t>Barranquilla</t>
  </si>
  <si>
    <t>Gilberto Hurtado</t>
  </si>
  <si>
    <t>Alejandro Villamil</t>
  </si>
  <si>
    <t>ID</t>
  </si>
  <si>
    <t>Marca</t>
  </si>
  <si>
    <t>Fecha</t>
  </si>
  <si>
    <t>Venta</t>
  </si>
  <si>
    <t>BMW</t>
  </si>
  <si>
    <t>Hyundai</t>
  </si>
  <si>
    <t>Mazda</t>
  </si>
  <si>
    <t>Volvo</t>
  </si>
  <si>
    <t>Chevrolet</t>
  </si>
  <si>
    <t>Ford</t>
  </si>
  <si>
    <t>Asesor</t>
  </si>
  <si>
    <t>Etiquetas de fila</t>
  </si>
  <si>
    <t>Total general</t>
  </si>
  <si>
    <t>Suma de Venta</t>
  </si>
  <si>
    <t>Etiquetas de columna</t>
  </si>
  <si>
    <t>Trim.1</t>
  </si>
  <si>
    <t>Trim.2</t>
  </si>
  <si>
    <t>Trim.3</t>
  </si>
  <si>
    <t>Trim.4</t>
  </si>
  <si>
    <t>Promedio de Venta</t>
  </si>
  <si>
    <t>Cantidad de ventas</t>
  </si>
  <si>
    <t>Total Promedio de Venta</t>
  </si>
  <si>
    <t>Promedio de Venta Alejandro Villamil</t>
  </si>
  <si>
    <t>Promedio de Venta Beatriz Osorio</t>
  </si>
  <si>
    <t>Promedio de Venta Carolina Romero</t>
  </si>
  <si>
    <t>Promedio de Venta Gilberto Hurtado</t>
  </si>
  <si>
    <t>Promedio de Venta Nicolas Sanchez</t>
  </si>
  <si>
    <t>Promedio de Venta Robert Castaño</t>
  </si>
  <si>
    <t>Promedio de Venta Sandra Lopez</t>
  </si>
  <si>
    <t>Promedio de Venta Santiago Perez</t>
  </si>
  <si>
    <t>Promedio de Venta Vicky Ortiz</t>
  </si>
  <si>
    <t>Ventas</t>
  </si>
  <si>
    <t>Tipo</t>
  </si>
  <si>
    <t>Dato</t>
  </si>
  <si>
    <t>Maria Martinez</t>
  </si>
  <si>
    <t>Mario villanueva</t>
  </si>
  <si>
    <t>Formulario de ventas</t>
  </si>
  <si>
    <t>Bienvenido y gracias por usar nuestros servicios. En el boton que se encuentra a la izquiera se encuentra un formulario para Buscar e ingresar los datos de los asesores. La busqueda se realiza por codigo, para buscar los datos de los asesores escriba el codigo y seleccione la tecla tab, en caso de no encontrarlo, arrojara un mensaje de error.</t>
  </si>
  <si>
    <t>Tola de ventas</t>
  </si>
  <si>
    <t>Promedio de ventas</t>
  </si>
  <si>
    <t>Mín. de Venta</t>
  </si>
  <si>
    <t>Número de ventas Alejandro Villamil</t>
  </si>
  <si>
    <t>Número de ventas Beatriz Osorio</t>
  </si>
  <si>
    <t>Número de ventas Carolina Romero</t>
  </si>
  <si>
    <t>Número de ventas Gilberto Hurtado</t>
  </si>
  <si>
    <t>Número de ventas Nicolas Sanchez</t>
  </si>
  <si>
    <t>Número de ventas Robert Castaño</t>
  </si>
  <si>
    <t>Número de ventas Sandra Lopez</t>
  </si>
  <si>
    <t>Número de ventas Santiago Perez</t>
  </si>
  <si>
    <t>Número de ventas Vicky Ortiz</t>
  </si>
  <si>
    <t>Total Número de ventas</t>
  </si>
  <si>
    <t>Número de ventas</t>
  </si>
  <si>
    <t>Máx. de Ventas</t>
  </si>
  <si>
    <t>valores estadisticos</t>
  </si>
  <si>
    <t>N° unidades vendidas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</si>
</sst>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164" formatCode="dd/mm/yyyy"/>
    <numFmt numFmtId="165" formatCode="d/m/yyyy"/>
    <numFmt numFmtId="166" formatCode="_-[$$-240A]\ * #,##0.00_-;\-[$$-240A]\ * #,##0.00_-;_-[$$-240A]\ * &quot;-&quot;??_-;_-@_-"/>
    <numFmt numFmtId="167" formatCode="&quot;$&quot;\ #,##0.00"/>
  </numFmts>
  <fonts count="18" x14ac:knownFonts="1">
    <font>
      <sz val="10"/>
      <color rgb="FF000000"/>
      <name val="Century Gothic"/>
      <scheme val="minor"/>
    </font>
    <font>
      <sz val="11"/>
      <color theme="1"/>
      <name val="Arial"/>
    </font>
    <font>
      <sz val="10"/>
      <color theme="1"/>
      <name val="Century Gothic"/>
      <scheme val="minor"/>
    </font>
    <font>
      <sz val="10"/>
      <color rgb="FF000000"/>
      <name val="Century Gothic"/>
      <scheme val="minor"/>
    </font>
    <font>
      <b/>
      <sz val="10"/>
      <color rgb="FF000000"/>
      <name val="Century Gothic"/>
      <family val="2"/>
      <scheme val="minor"/>
    </font>
    <font>
      <sz val="10"/>
      <color rgb="FF000000"/>
      <name val="Century Gothic"/>
      <family val="2"/>
      <scheme val="minor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theme="3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0"/>
      <color theme="1"/>
      <name val="Century Gothic"/>
      <family val="2"/>
      <scheme val="minor"/>
    </font>
    <font>
      <b/>
      <sz val="10"/>
      <name val="Century Gothic"/>
      <family val="2"/>
      <scheme val="minor"/>
    </font>
    <font>
      <sz val="8"/>
      <name val="Century Gothic"/>
      <family val="2"/>
      <scheme val="minor"/>
    </font>
    <font>
      <sz val="11"/>
      <name val="Century Gothic"/>
      <family val="2"/>
      <scheme val="minor"/>
    </font>
    <font>
      <b/>
      <sz val="11"/>
      <color theme="1" tint="0.14999847407452621"/>
      <name val="Bell MT"/>
      <family val="1"/>
    </font>
    <font>
      <b/>
      <sz val="14"/>
      <color theme="0"/>
      <name val="Bodoni MT Black"/>
      <family val="1"/>
    </font>
    <font>
      <sz val="10"/>
      <color rgb="FF000000"/>
      <name val="Century Gothic"/>
      <family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0" fontId="8" fillId="0" borderId="1" applyNumberFormat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2" fillId="0" borderId="0" xfId="0" applyFont="1" applyAlignment="1"/>
    <xf numFmtId="0" fontId="0" fillId="0" borderId="0" xfId="0" applyAlignment="1"/>
    <xf numFmtId="166" fontId="0" fillId="0" borderId="0" xfId="0" applyNumberFormat="1"/>
    <xf numFmtId="166" fontId="2" fillId="0" borderId="0" xfId="1" applyNumberFormat="1" applyFont="1" applyAlignment="1">
      <alignment horizontal="left"/>
    </xf>
    <xf numFmtId="0" fontId="2" fillId="0" borderId="0" xfId="0" applyFont="1" applyAlignment="1">
      <alignment horizontal="right"/>
    </xf>
    <xf numFmtId="165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0" fontId="6" fillId="0" borderId="0" xfId="0" applyFont="1"/>
    <xf numFmtId="0" fontId="0" fillId="2" borderId="0" xfId="0" applyFill="1"/>
    <xf numFmtId="0" fontId="11" fillId="0" borderId="0" xfId="0" applyFont="1" applyAlignment="1">
      <alignment horizontal="left"/>
    </xf>
    <xf numFmtId="164" fontId="11" fillId="0" borderId="0" xfId="0" applyNumberFormat="1" applyFont="1" applyAlignment="1">
      <alignment horizontal="right"/>
    </xf>
    <xf numFmtId="166" fontId="11" fillId="0" borderId="0" xfId="1" applyNumberFormat="1" applyFont="1" applyAlignment="1">
      <alignment horizontal="left"/>
    </xf>
    <xf numFmtId="0" fontId="12" fillId="3" borderId="5" xfId="0" applyFont="1" applyFill="1" applyBorder="1" applyAlignment="1">
      <alignment horizontal="centerContinuous"/>
    </xf>
    <xf numFmtId="0" fontId="12" fillId="3" borderId="6" xfId="0" applyFont="1" applyFill="1" applyBorder="1" applyAlignment="1">
      <alignment horizontal="centerContinuous"/>
    </xf>
    <xf numFmtId="0" fontId="12" fillId="3" borderId="7" xfId="0" applyFont="1" applyFill="1" applyBorder="1" applyAlignment="1">
      <alignment horizontal="centerContinuous"/>
    </xf>
    <xf numFmtId="44" fontId="10" fillId="10" borderId="4" xfId="1" applyFont="1" applyFill="1" applyBorder="1"/>
    <xf numFmtId="0" fontId="10" fillId="11" borderId="4" xfId="4" applyFill="1" applyBorder="1"/>
    <xf numFmtId="44" fontId="10" fillId="12" borderId="4" xfId="1" applyFont="1" applyFill="1" applyBorder="1"/>
    <xf numFmtId="44" fontId="10" fillId="13" borderId="4" xfId="1" applyFont="1" applyFill="1" applyBorder="1"/>
    <xf numFmtId="44" fontId="10" fillId="14" borderId="4" xfId="1" applyFont="1" applyFill="1" applyBorder="1"/>
    <xf numFmtId="44" fontId="0" fillId="0" borderId="0" xfId="0" applyNumberFormat="1"/>
    <xf numFmtId="167" fontId="0" fillId="0" borderId="0" xfId="0" applyNumberFormat="1"/>
    <xf numFmtId="166" fontId="2" fillId="15" borderId="0" xfId="0" applyNumberFormat="1" applyFont="1" applyFill="1" applyAlignment="1">
      <alignment horizontal="left"/>
    </xf>
    <xf numFmtId="14" fontId="17" fillId="0" borderId="0" xfId="0" applyNumberFormat="1" applyFont="1"/>
    <xf numFmtId="0" fontId="15" fillId="4" borderId="8" xfId="2" applyFont="1" applyFill="1" applyBorder="1" applyAlignment="1">
      <alignment horizontal="justify" wrapText="1"/>
    </xf>
    <xf numFmtId="0" fontId="15" fillId="4" borderId="12" xfId="2" applyFont="1" applyFill="1" applyBorder="1" applyAlignment="1">
      <alignment horizontal="justify" wrapText="1"/>
    </xf>
    <xf numFmtId="0" fontId="16" fillId="9" borderId="9" xfId="0" applyFont="1" applyFill="1" applyBorder="1" applyAlignment="1">
      <alignment horizontal="center"/>
    </xf>
    <xf numFmtId="0" fontId="16" fillId="9" borderId="10" xfId="0" applyFont="1" applyFill="1" applyBorder="1" applyAlignment="1">
      <alignment horizontal="center"/>
    </xf>
    <xf numFmtId="0" fontId="16" fillId="9" borderId="11" xfId="0" applyFont="1" applyFill="1" applyBorder="1" applyAlignment="1">
      <alignment horizontal="center"/>
    </xf>
    <xf numFmtId="0" fontId="15" fillId="5" borderId="8" xfId="2" applyFont="1" applyFill="1" applyBorder="1" applyAlignment="1">
      <alignment horizontal="justify" wrapText="1"/>
    </xf>
    <xf numFmtId="0" fontId="15" fillId="5" borderId="13" xfId="2" applyFont="1" applyFill="1" applyBorder="1" applyAlignment="1">
      <alignment horizontal="justify" wrapText="1"/>
    </xf>
    <xf numFmtId="0" fontId="15" fillId="6" borderId="8" xfId="2" applyFont="1" applyFill="1" applyBorder="1" applyAlignment="1">
      <alignment horizontal="justify" wrapText="1"/>
    </xf>
    <xf numFmtId="0" fontId="15" fillId="6" borderId="13" xfId="2" applyFont="1" applyFill="1" applyBorder="1" applyAlignment="1">
      <alignment horizontal="justify" wrapText="1"/>
    </xf>
    <xf numFmtId="0" fontId="15" fillId="7" borderId="8" xfId="2" applyFont="1" applyFill="1" applyBorder="1" applyAlignment="1">
      <alignment horizontal="justify" wrapText="1"/>
    </xf>
    <xf numFmtId="0" fontId="15" fillId="7" borderId="13" xfId="2" applyFont="1" applyFill="1" applyBorder="1" applyAlignment="1">
      <alignment horizontal="justify" wrapText="1"/>
    </xf>
    <xf numFmtId="0" fontId="15" fillId="8" borderId="8" xfId="2" applyFont="1" applyFill="1" applyBorder="1" applyAlignment="1">
      <alignment horizontal="justify" wrapText="1"/>
    </xf>
    <xf numFmtId="0" fontId="15" fillId="8" borderId="13" xfId="2" applyFont="1" applyFill="1" applyBorder="1" applyAlignment="1">
      <alignment horizontal="justify" wrapText="1"/>
    </xf>
    <xf numFmtId="0" fontId="14" fillId="0" borderId="2" xfId="3" applyFont="1" applyAlignment="1">
      <alignment vertical="justify" wrapText="1"/>
    </xf>
  </cellXfs>
  <cellStyles count="5">
    <cellStyle name="Celda vinculada" xfId="3" builtinId="24"/>
    <cellStyle name="Moneda" xfId="1" builtinId="4"/>
    <cellStyle name="Normal" xfId="0" builtinId="0"/>
    <cellStyle name="Título 3" xfId="2" builtinId="18" customBuiltin="1"/>
    <cellStyle name="Total" xfId="4" builtinId="25"/>
  </cellStyles>
  <dxfs count="79"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b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numFmt numFmtId="166" formatCode="_-[$$-240A]\ * #,##0.00_-;\-[$$-240A]\ * #,##0.00_-;_-[$$-240A]\ * &quot;-&quot;??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numFmt numFmtId="164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alignment horizontal="left" vertical="bottom" textRotation="0" wrapText="0" indent="0" justifyLastLine="0" shrinkToFit="0" readingOrder="0"/>
    </dxf>
    <dxf>
      <fill>
        <gradientFill degree="135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7/relationships/slicerCache" Target="slicerCaches/slicerCache3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3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dinamicas'!$B$17:$B$20</c:f>
              <c:strCache>
                <c:ptCount val="1"/>
                <c:pt idx="0">
                  <c:v>Alejandro Villamil - Promedio de Venta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dinamicas'!$B$21:$B$25</c:f>
              <c:numCache>
                <c:formatCode>General</c:formatCode>
                <c:ptCount val="4"/>
                <c:pt idx="0">
                  <c:v>42973258</c:v>
                </c:pt>
                <c:pt idx="1">
                  <c:v>54333888</c:v>
                </c:pt>
                <c:pt idx="2">
                  <c:v>30040570</c:v>
                </c:pt>
                <c:pt idx="3">
                  <c:v>52410462.666666664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A-463C-AEA8-3DA337C78F38}"/>
            </c:ext>
          </c:extLst>
        </c:ser>
        <c:ser>
          <c:idx val="1"/>
          <c:order val="1"/>
          <c:tx>
            <c:strRef>
              <c:f>'Tablas dinamicas'!$C$17:$C$20</c:f>
              <c:strCache>
                <c:ptCount val="1"/>
                <c:pt idx="0">
                  <c:v>Alejandro Villamil - Promedio de Venta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dinamicas'!$C$21:$C$25</c:f>
              <c:numCache>
                <c:formatCode>General</c:formatCode>
                <c:ptCount val="4"/>
                <c:pt idx="0">
                  <c:v>14118233</c:v>
                </c:pt>
                <c:pt idx="1">
                  <c:v>33705973</c:v>
                </c:pt>
                <c:pt idx="2">
                  <c:v>30351450.75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CA-463C-AEA8-3DA337C78F38}"/>
            </c:ext>
          </c:extLst>
        </c:ser>
        <c:ser>
          <c:idx val="2"/>
          <c:order val="2"/>
          <c:tx>
            <c:strRef>
              <c:f>'Tablas dinamicas'!$D$17:$D$20</c:f>
              <c:strCache>
                <c:ptCount val="1"/>
                <c:pt idx="0">
                  <c:v>Alejandro Villamil - Promedio de Venta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dinamicas'!$D$21:$D$25</c:f>
              <c:numCache>
                <c:formatCode>General</c:formatCode>
                <c:ptCount val="4"/>
                <c:pt idx="0">
                  <c:v>15123765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CA-463C-AEA8-3DA337C78F38}"/>
            </c:ext>
          </c:extLst>
        </c:ser>
        <c:ser>
          <c:idx val="3"/>
          <c:order val="3"/>
          <c:tx>
            <c:strRef>
              <c:f>'Tablas dinamicas'!$E$17:$E$20</c:f>
              <c:strCache>
                <c:ptCount val="1"/>
                <c:pt idx="0">
                  <c:v>Alejandro Villamil - Promedio de Venta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dinamicas'!$E$21:$E$25</c:f>
              <c:numCache>
                <c:formatCode>General</c:formatCode>
                <c:ptCount val="4"/>
                <c:pt idx="0">
                  <c:v>42310379.200000003</c:v>
                </c:pt>
                <c:pt idx="1">
                  <c:v>42436970</c:v>
                </c:pt>
                <c:pt idx="3">
                  <c:v>46117521.5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8CA-463C-AEA8-3DA337C78F38}"/>
            </c:ext>
          </c:extLst>
        </c:ser>
        <c:ser>
          <c:idx val="4"/>
          <c:order val="4"/>
          <c:tx>
            <c:strRef>
              <c:f>'Tablas dinamicas'!$F$17:$F$20</c:f>
              <c:strCache>
                <c:ptCount val="1"/>
                <c:pt idx="0">
                  <c:v>Alejandro Villamil - Promedio de Venta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dinamicas'!$F$21:$F$25</c:f>
              <c:numCache>
                <c:formatCode>General</c:formatCode>
                <c:ptCount val="4"/>
                <c:pt idx="0">
                  <c:v>50713175</c:v>
                </c:pt>
                <c:pt idx="1">
                  <c:v>31444365</c:v>
                </c:pt>
                <c:pt idx="2">
                  <c:v>58703990.5</c:v>
                </c:pt>
                <c:pt idx="3">
                  <c:v>48038671.5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CA-463C-AEA8-3DA337C78F38}"/>
            </c:ext>
          </c:extLst>
        </c:ser>
        <c:ser>
          <c:idx val="5"/>
          <c:order val="5"/>
          <c:tx>
            <c:strRef>
              <c:f>'Tablas dinamicas'!$G$17:$G$20</c:f>
              <c:strCache>
                <c:ptCount val="1"/>
                <c:pt idx="0">
                  <c:v>Alejandro Villamil - Promedio de Venta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dinamicas'!$G$21:$G$25</c:f>
              <c:numCache>
                <c:formatCode>General</c:formatCode>
                <c:ptCount val="4"/>
                <c:pt idx="0">
                  <c:v>63497934.5</c:v>
                </c:pt>
                <c:pt idx="1">
                  <c:v>36765544.5</c:v>
                </c:pt>
                <c:pt idx="2">
                  <c:v>22501471.75</c:v>
                </c:pt>
                <c:pt idx="3">
                  <c:v>32305952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8CA-463C-AEA8-3DA337C78F38}"/>
            </c:ext>
          </c:extLst>
        </c:ser>
        <c:ser>
          <c:idx val="6"/>
          <c:order val="6"/>
          <c:tx>
            <c:strRef>
              <c:f>'Tablas dinamicas'!$H$17:$H$20</c:f>
              <c:strCache>
                <c:ptCount val="1"/>
                <c:pt idx="0">
                  <c:v>Alejandro Villamil - Número de ventas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dinamicas'!$H$21:$H$25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8CA-463C-AEA8-3DA337C78F38}"/>
            </c:ext>
          </c:extLst>
        </c:ser>
        <c:ser>
          <c:idx val="7"/>
          <c:order val="7"/>
          <c:tx>
            <c:strRef>
              <c:f>'Tablas dinamicas'!$I$17:$I$20</c:f>
              <c:strCache>
                <c:ptCount val="1"/>
                <c:pt idx="0">
                  <c:v>Alejandro Villamil - Número de ventas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dinamicas'!$I$21:$I$25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8CA-463C-AEA8-3DA337C78F38}"/>
            </c:ext>
          </c:extLst>
        </c:ser>
        <c:ser>
          <c:idx val="8"/>
          <c:order val="8"/>
          <c:tx>
            <c:strRef>
              <c:f>'Tablas dinamicas'!$J$17:$J$20</c:f>
              <c:strCache>
                <c:ptCount val="1"/>
                <c:pt idx="0">
                  <c:v>Alejandro Villamil - Número de ventas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dinamicas'!$J$21:$J$25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8CA-463C-AEA8-3DA337C78F38}"/>
            </c:ext>
          </c:extLst>
        </c:ser>
        <c:ser>
          <c:idx val="9"/>
          <c:order val="9"/>
          <c:tx>
            <c:strRef>
              <c:f>'Tablas dinamicas'!$K$17:$K$20</c:f>
              <c:strCache>
                <c:ptCount val="1"/>
                <c:pt idx="0">
                  <c:v>Alejandro Villamil - Número de ventas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dinamicas'!$K$21:$K$25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8CA-463C-AEA8-3DA337C78F38}"/>
            </c:ext>
          </c:extLst>
        </c:ser>
        <c:ser>
          <c:idx val="10"/>
          <c:order val="10"/>
          <c:tx>
            <c:strRef>
              <c:f>'Tablas dinamicas'!$L$17:$L$20</c:f>
              <c:strCache>
                <c:ptCount val="1"/>
                <c:pt idx="0">
                  <c:v>Alejandro Villamil - Número de ventas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dinamicas'!$L$21:$L$25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8CA-463C-AEA8-3DA337C78F38}"/>
            </c:ext>
          </c:extLst>
        </c:ser>
        <c:ser>
          <c:idx val="11"/>
          <c:order val="11"/>
          <c:tx>
            <c:strRef>
              <c:f>'Tablas dinamicas'!$M$17:$M$20</c:f>
              <c:strCache>
                <c:ptCount val="1"/>
                <c:pt idx="0">
                  <c:v>Alejandro Villamil - Número de ventas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dinamicas'!$M$21:$M$25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8CA-463C-AEA8-3DA337C78F38}"/>
            </c:ext>
          </c:extLst>
        </c:ser>
        <c:ser>
          <c:idx val="12"/>
          <c:order val="12"/>
          <c:tx>
            <c:strRef>
              <c:f>'Tablas dinamicas'!$P$17:$P$20</c:f>
              <c:strCache>
                <c:ptCount val="1"/>
                <c:pt idx="0">
                  <c:v>Beatriz Osorio - Promedio de Venta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dinamicas'!$P$21:$P$25</c:f>
              <c:numCache>
                <c:formatCode>General</c:formatCode>
                <c:ptCount val="4"/>
                <c:pt idx="0">
                  <c:v>36753850</c:v>
                </c:pt>
                <c:pt idx="1">
                  <c:v>43022682.200000003</c:v>
                </c:pt>
                <c:pt idx="2">
                  <c:v>59206969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8CA-463C-AEA8-3DA337C78F38}"/>
            </c:ext>
          </c:extLst>
        </c:ser>
        <c:ser>
          <c:idx val="13"/>
          <c:order val="13"/>
          <c:tx>
            <c:strRef>
              <c:f>'Tablas dinamicas'!$Q$17:$Q$20</c:f>
              <c:strCache>
                <c:ptCount val="1"/>
                <c:pt idx="0">
                  <c:v>Beatriz Osorio - Promedio de Venta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dinamicas'!$Q$21:$Q$25</c:f>
              <c:numCache>
                <c:formatCode>General</c:formatCode>
                <c:ptCount val="4"/>
                <c:pt idx="0">
                  <c:v>35622159</c:v>
                </c:pt>
                <c:pt idx="1">
                  <c:v>37475943.799999997</c:v>
                </c:pt>
                <c:pt idx="2">
                  <c:v>41953166.5</c:v>
                </c:pt>
                <c:pt idx="3">
                  <c:v>43517646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8CA-463C-AEA8-3DA337C78F38}"/>
            </c:ext>
          </c:extLst>
        </c:ser>
        <c:ser>
          <c:idx val="14"/>
          <c:order val="14"/>
          <c:tx>
            <c:strRef>
              <c:f>'Tablas dinamicas'!$R$17:$R$20</c:f>
              <c:strCache>
                <c:ptCount val="1"/>
                <c:pt idx="0">
                  <c:v>Beatriz Osorio - Promedio de Venta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dinamicas'!$R$21:$R$25</c:f>
              <c:numCache>
                <c:formatCode>General</c:formatCode>
                <c:ptCount val="4"/>
                <c:pt idx="2">
                  <c:v>51303613</c:v>
                </c:pt>
                <c:pt idx="3">
                  <c:v>12748585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8CA-463C-AEA8-3DA337C78F38}"/>
            </c:ext>
          </c:extLst>
        </c:ser>
        <c:ser>
          <c:idx val="15"/>
          <c:order val="15"/>
          <c:tx>
            <c:strRef>
              <c:f>'Tablas dinamicas'!$S$17:$S$20</c:f>
              <c:strCache>
                <c:ptCount val="1"/>
                <c:pt idx="0">
                  <c:v>Beatriz Osorio - Promedio de Venta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dinamicas'!$S$21:$S$25</c:f>
              <c:numCache>
                <c:formatCode>General</c:formatCode>
                <c:ptCount val="4"/>
                <c:pt idx="0">
                  <c:v>37084237</c:v>
                </c:pt>
                <c:pt idx="1">
                  <c:v>29850774.5</c:v>
                </c:pt>
                <c:pt idx="2">
                  <c:v>55155581.666666664</c:v>
                </c:pt>
                <c:pt idx="3">
                  <c:v>49098897.666666664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8CA-463C-AEA8-3DA337C78F38}"/>
            </c:ext>
          </c:extLst>
        </c:ser>
        <c:ser>
          <c:idx val="16"/>
          <c:order val="16"/>
          <c:tx>
            <c:strRef>
              <c:f>'Tablas dinamicas'!$T$17:$T$20</c:f>
              <c:strCache>
                <c:ptCount val="1"/>
                <c:pt idx="0">
                  <c:v>Beatriz Osorio - Promedio de Venta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dinamicas'!$T$21:$T$25</c:f>
              <c:numCache>
                <c:formatCode>General</c:formatCode>
                <c:ptCount val="4"/>
                <c:pt idx="1">
                  <c:v>29329382.5</c:v>
                </c:pt>
                <c:pt idx="2">
                  <c:v>41851846</c:v>
                </c:pt>
                <c:pt idx="3">
                  <c:v>45031333.25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8CA-463C-AEA8-3DA337C78F38}"/>
            </c:ext>
          </c:extLst>
        </c:ser>
        <c:ser>
          <c:idx val="17"/>
          <c:order val="17"/>
          <c:tx>
            <c:strRef>
              <c:f>'Tablas dinamicas'!$U$17:$U$20</c:f>
              <c:strCache>
                <c:ptCount val="1"/>
                <c:pt idx="0">
                  <c:v>Beatriz Osorio - Promedio de Venta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dinamicas'!$U$21:$U$25</c:f>
              <c:numCache>
                <c:formatCode>General</c:formatCode>
                <c:ptCount val="4"/>
                <c:pt idx="0">
                  <c:v>20785718.5</c:v>
                </c:pt>
                <c:pt idx="1">
                  <c:v>34282502.75</c:v>
                </c:pt>
                <c:pt idx="2">
                  <c:v>52217687</c:v>
                </c:pt>
                <c:pt idx="3">
                  <c:v>46145679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8CA-463C-AEA8-3DA337C78F38}"/>
            </c:ext>
          </c:extLst>
        </c:ser>
        <c:ser>
          <c:idx val="18"/>
          <c:order val="18"/>
          <c:tx>
            <c:strRef>
              <c:f>'Tablas dinamicas'!$V$17:$V$20</c:f>
              <c:strCache>
                <c:ptCount val="1"/>
                <c:pt idx="0">
                  <c:v>Beatriz Osorio - Número de ventas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dinamicas'!$V$21:$V$25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CA-463C-AEA8-3DA337C78F38}"/>
            </c:ext>
          </c:extLst>
        </c:ser>
        <c:ser>
          <c:idx val="19"/>
          <c:order val="19"/>
          <c:tx>
            <c:strRef>
              <c:f>'Tablas dinamicas'!$W$17:$W$20</c:f>
              <c:strCache>
                <c:ptCount val="1"/>
                <c:pt idx="0">
                  <c:v>Beatriz Osorio - Número de ventas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dinamicas'!$W$21:$W$25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8CA-463C-AEA8-3DA337C78F38}"/>
            </c:ext>
          </c:extLst>
        </c:ser>
        <c:ser>
          <c:idx val="20"/>
          <c:order val="20"/>
          <c:tx>
            <c:strRef>
              <c:f>'Tablas dinamicas'!$X$17:$X$20</c:f>
              <c:strCache>
                <c:ptCount val="1"/>
                <c:pt idx="0">
                  <c:v>Beatriz Osorio - Número de ventas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dinamicas'!$X$21:$X$25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8CA-463C-AEA8-3DA337C78F38}"/>
            </c:ext>
          </c:extLst>
        </c:ser>
        <c:ser>
          <c:idx val="21"/>
          <c:order val="21"/>
          <c:tx>
            <c:strRef>
              <c:f>'Tablas dinamicas'!$Y$17:$Y$20</c:f>
              <c:strCache>
                <c:ptCount val="1"/>
                <c:pt idx="0">
                  <c:v>Beatriz Osorio - Número de ventas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dinamicas'!$Y$21:$Y$25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8CA-463C-AEA8-3DA337C78F38}"/>
            </c:ext>
          </c:extLst>
        </c:ser>
        <c:ser>
          <c:idx val="22"/>
          <c:order val="22"/>
          <c:tx>
            <c:strRef>
              <c:f>'Tablas dinamicas'!$Z$17:$Z$20</c:f>
              <c:strCache>
                <c:ptCount val="1"/>
                <c:pt idx="0">
                  <c:v>Beatriz Osorio - Número de ventas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dinamicas'!$Z$21:$Z$25</c:f>
              <c:numCache>
                <c:formatCode>General</c:formatCode>
                <c:ptCount val="4"/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8CA-463C-AEA8-3DA337C78F38}"/>
            </c:ext>
          </c:extLst>
        </c:ser>
        <c:ser>
          <c:idx val="23"/>
          <c:order val="23"/>
          <c:tx>
            <c:strRef>
              <c:f>'Tablas dinamicas'!$AA$17:$AA$20</c:f>
              <c:strCache>
                <c:ptCount val="1"/>
                <c:pt idx="0">
                  <c:v>Beatriz Osorio - Número de ventas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dinamicas'!$AA$21:$AA$25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8CA-463C-AEA8-3DA337C78F38}"/>
            </c:ext>
          </c:extLst>
        </c:ser>
        <c:ser>
          <c:idx val="24"/>
          <c:order val="24"/>
          <c:tx>
            <c:strRef>
              <c:f>'Tablas dinamicas'!$AD$17:$AD$20</c:f>
              <c:strCache>
                <c:ptCount val="1"/>
                <c:pt idx="0">
                  <c:v>Carolina Romero - Promedio de Venta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dinamicas'!$AD$21:$AD$25</c:f>
              <c:numCache>
                <c:formatCode>General</c:formatCode>
                <c:ptCount val="4"/>
                <c:pt idx="0">
                  <c:v>59925268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8CA-463C-AEA8-3DA337C78F38}"/>
            </c:ext>
          </c:extLst>
        </c:ser>
        <c:ser>
          <c:idx val="25"/>
          <c:order val="25"/>
          <c:tx>
            <c:strRef>
              <c:f>'Tablas dinamicas'!$AE$17:$AE$20</c:f>
              <c:strCache>
                <c:ptCount val="1"/>
                <c:pt idx="0">
                  <c:v>Carolina Romero - Promedio de Venta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dinamicas'!$AE$21:$AE$25</c:f>
              <c:numCache>
                <c:formatCode>General</c:formatCode>
                <c:ptCount val="4"/>
                <c:pt idx="3">
                  <c:v>16308406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8CA-463C-AEA8-3DA337C78F38}"/>
            </c:ext>
          </c:extLst>
        </c:ser>
        <c:ser>
          <c:idx val="26"/>
          <c:order val="26"/>
          <c:tx>
            <c:strRef>
              <c:f>'Tablas dinamicas'!$AF$17:$AF$20</c:f>
              <c:strCache>
                <c:ptCount val="1"/>
                <c:pt idx="0">
                  <c:v>Carolina Romero - Promedio de Venta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dinamicas'!$AF$21:$AF$25</c:f>
              <c:numCache>
                <c:formatCode>General</c:formatCode>
                <c:ptCount val="4"/>
                <c:pt idx="2">
                  <c:v>30835954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8CA-463C-AEA8-3DA337C78F38}"/>
            </c:ext>
          </c:extLst>
        </c:ser>
        <c:ser>
          <c:idx val="27"/>
          <c:order val="27"/>
          <c:tx>
            <c:strRef>
              <c:f>'Tablas dinamicas'!$AG$17:$AG$20</c:f>
              <c:strCache>
                <c:ptCount val="1"/>
                <c:pt idx="0">
                  <c:v>Carolina Romero - Promedio de Venta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dinamicas'!$AG$21:$AG$25</c:f>
              <c:numCache>
                <c:formatCode>General</c:formatCode>
                <c:ptCount val="4"/>
                <c:pt idx="0">
                  <c:v>21488176</c:v>
                </c:pt>
                <c:pt idx="1">
                  <c:v>35955759</c:v>
                </c:pt>
                <c:pt idx="2">
                  <c:v>16228984</c:v>
                </c:pt>
                <c:pt idx="3">
                  <c:v>30122898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8CA-463C-AEA8-3DA337C78F38}"/>
            </c:ext>
          </c:extLst>
        </c:ser>
        <c:ser>
          <c:idx val="28"/>
          <c:order val="28"/>
          <c:tx>
            <c:strRef>
              <c:f>'Tablas dinamicas'!$AH$17:$AH$20</c:f>
              <c:strCache>
                <c:ptCount val="1"/>
                <c:pt idx="0">
                  <c:v>Carolina Romero - Promedio de Venta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dinamicas'!$AH$21:$AH$25</c:f>
              <c:numCache>
                <c:formatCode>General</c:formatCode>
                <c:ptCount val="4"/>
                <c:pt idx="1">
                  <c:v>45597149</c:v>
                </c:pt>
                <c:pt idx="2">
                  <c:v>60213373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8CA-463C-AEA8-3DA337C78F38}"/>
            </c:ext>
          </c:extLst>
        </c:ser>
        <c:ser>
          <c:idx val="29"/>
          <c:order val="29"/>
          <c:tx>
            <c:strRef>
              <c:f>'Tablas dinamicas'!$AI$17:$AI$20</c:f>
              <c:strCache>
                <c:ptCount val="1"/>
                <c:pt idx="0">
                  <c:v>Carolina Romero - Promedio de Venta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dinamicas'!$AI$21:$AI$25</c:f>
              <c:numCache>
                <c:formatCode>General</c:formatCode>
                <c:ptCount val="4"/>
                <c:pt idx="1">
                  <c:v>11754232</c:v>
                </c:pt>
                <c:pt idx="2">
                  <c:v>31754229</c:v>
                </c:pt>
                <c:pt idx="3">
                  <c:v>55203019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98CA-463C-AEA8-3DA337C78F38}"/>
            </c:ext>
          </c:extLst>
        </c:ser>
        <c:ser>
          <c:idx val="30"/>
          <c:order val="30"/>
          <c:tx>
            <c:strRef>
              <c:f>'Tablas dinamicas'!$AJ$17:$AJ$20</c:f>
              <c:strCache>
                <c:ptCount val="1"/>
                <c:pt idx="0">
                  <c:v>Carolina Romero - Número de ventas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dinamicas'!$AJ$21:$AJ$25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98CA-463C-AEA8-3DA337C78F38}"/>
            </c:ext>
          </c:extLst>
        </c:ser>
        <c:ser>
          <c:idx val="31"/>
          <c:order val="31"/>
          <c:tx>
            <c:strRef>
              <c:f>'Tablas dinamicas'!$AK$17:$AK$20</c:f>
              <c:strCache>
                <c:ptCount val="1"/>
                <c:pt idx="0">
                  <c:v>Carolina Romero - Número de ventas - Chevrolet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dinamicas'!$AK$21:$AK$25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8CA-463C-AEA8-3DA337C78F38}"/>
            </c:ext>
          </c:extLst>
        </c:ser>
        <c:ser>
          <c:idx val="32"/>
          <c:order val="32"/>
          <c:tx>
            <c:strRef>
              <c:f>'Tablas dinamicas'!$AL$17:$AL$20</c:f>
              <c:strCache>
                <c:ptCount val="1"/>
                <c:pt idx="0">
                  <c:v>Carolina Romero - Número de ventas - Ford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dinamicas'!$AL$21:$AL$25</c:f>
              <c:numCache>
                <c:formatCode>General</c:formatCode>
                <c:ptCount val="4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98CA-463C-AEA8-3DA337C78F38}"/>
            </c:ext>
          </c:extLst>
        </c:ser>
        <c:ser>
          <c:idx val="33"/>
          <c:order val="33"/>
          <c:tx>
            <c:strRef>
              <c:f>'Tablas dinamicas'!$AM$17:$AM$20</c:f>
              <c:strCache>
                <c:ptCount val="1"/>
                <c:pt idx="0">
                  <c:v>Carolina Romero - Número de ventas - Hyundai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dinamicas'!$AM$21:$AM$25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98CA-463C-AEA8-3DA337C78F38}"/>
            </c:ext>
          </c:extLst>
        </c:ser>
        <c:ser>
          <c:idx val="34"/>
          <c:order val="34"/>
          <c:tx>
            <c:strRef>
              <c:f>'Tablas dinamicas'!$AN$17:$AN$20</c:f>
              <c:strCache>
                <c:ptCount val="1"/>
                <c:pt idx="0">
                  <c:v>Carolina Romero - Número de ventas - Mazda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dinamicas'!$AN$21:$AN$25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8CA-463C-AEA8-3DA337C78F38}"/>
            </c:ext>
          </c:extLst>
        </c:ser>
        <c:ser>
          <c:idx val="35"/>
          <c:order val="35"/>
          <c:tx>
            <c:strRef>
              <c:f>'Tablas dinamicas'!$AO$17:$AO$20</c:f>
              <c:strCache>
                <c:ptCount val="1"/>
                <c:pt idx="0">
                  <c:v>Carolina Romero - Número de ventas - Volvo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dinamicas'!$AO$21:$AO$25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98CA-463C-AEA8-3DA337C78F38}"/>
            </c:ext>
          </c:extLst>
        </c:ser>
        <c:ser>
          <c:idx val="36"/>
          <c:order val="36"/>
          <c:tx>
            <c:strRef>
              <c:f>'Tablas dinamicas'!$AR$17:$AR$20</c:f>
              <c:strCache>
                <c:ptCount val="1"/>
                <c:pt idx="0">
                  <c:v>Gilberto Hurtado - Promedio de Venta - BMW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dinamicas'!$AR$21:$AR$25</c:f>
              <c:numCache>
                <c:formatCode>General</c:formatCode>
                <c:ptCount val="4"/>
                <c:pt idx="0">
                  <c:v>61621621</c:v>
                </c:pt>
                <c:pt idx="1">
                  <c:v>36268792</c:v>
                </c:pt>
                <c:pt idx="2">
                  <c:v>29355693</c:v>
                </c:pt>
                <c:pt idx="3">
                  <c:v>21726958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98CA-463C-AEA8-3DA337C78F38}"/>
            </c:ext>
          </c:extLst>
        </c:ser>
        <c:ser>
          <c:idx val="37"/>
          <c:order val="37"/>
          <c:tx>
            <c:strRef>
              <c:f>'Tablas dinamicas'!$AS$17:$AS$20</c:f>
              <c:strCache>
                <c:ptCount val="1"/>
                <c:pt idx="0">
                  <c:v>Gilberto Hurtado - Promedio de Venta - Chevrolet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dinamicas'!$AS$21:$AS$25</c:f>
              <c:numCache>
                <c:formatCode>General</c:formatCode>
                <c:ptCount val="4"/>
                <c:pt idx="1">
                  <c:v>32806023.25</c:v>
                </c:pt>
                <c:pt idx="2">
                  <c:v>18820847</c:v>
                </c:pt>
                <c:pt idx="3">
                  <c:v>46823748.666666664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98CA-463C-AEA8-3DA337C78F38}"/>
            </c:ext>
          </c:extLst>
        </c:ser>
        <c:ser>
          <c:idx val="38"/>
          <c:order val="38"/>
          <c:tx>
            <c:strRef>
              <c:f>'Tablas dinamicas'!$AT$17:$AT$20</c:f>
              <c:strCache>
                <c:ptCount val="1"/>
                <c:pt idx="0">
                  <c:v>Gilberto Hurtado - Promedio de Venta - Ford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dinamicas'!$AT$21:$AT$25</c:f>
              <c:numCache>
                <c:formatCode>General</c:formatCode>
                <c:ptCount val="4"/>
                <c:pt idx="3">
                  <c:v>22718952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8CA-463C-AEA8-3DA337C78F38}"/>
            </c:ext>
          </c:extLst>
        </c:ser>
        <c:ser>
          <c:idx val="39"/>
          <c:order val="39"/>
          <c:tx>
            <c:strRef>
              <c:f>'Tablas dinamicas'!$AU$17:$AU$20</c:f>
              <c:strCache>
                <c:ptCount val="1"/>
                <c:pt idx="0">
                  <c:v>Gilberto Hurtado - Promedio de Venta - Hyundai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dinamicas'!$AU$21:$AU$25</c:f>
              <c:numCache>
                <c:formatCode>General</c:formatCode>
                <c:ptCount val="4"/>
                <c:pt idx="0">
                  <c:v>39631422.5</c:v>
                </c:pt>
                <c:pt idx="1">
                  <c:v>42540051.5</c:v>
                </c:pt>
                <c:pt idx="2">
                  <c:v>38479478.166666664</c:v>
                </c:pt>
                <c:pt idx="3">
                  <c:v>42894158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98CA-463C-AEA8-3DA337C78F38}"/>
            </c:ext>
          </c:extLst>
        </c:ser>
        <c:ser>
          <c:idx val="40"/>
          <c:order val="40"/>
          <c:tx>
            <c:strRef>
              <c:f>'Tablas dinamicas'!$AV$17:$AV$20</c:f>
              <c:strCache>
                <c:ptCount val="1"/>
                <c:pt idx="0">
                  <c:v>Gilberto Hurtado - Promedio de Venta - Mazda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dinamicas'!$AV$21:$AV$25</c:f>
              <c:numCache>
                <c:formatCode>General</c:formatCode>
                <c:ptCount val="4"/>
                <c:pt idx="0">
                  <c:v>47823462</c:v>
                </c:pt>
                <c:pt idx="1">
                  <c:v>40235260</c:v>
                </c:pt>
                <c:pt idx="2">
                  <c:v>41871260.333333336</c:v>
                </c:pt>
                <c:pt idx="3">
                  <c:v>27127803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98CA-463C-AEA8-3DA337C78F38}"/>
            </c:ext>
          </c:extLst>
        </c:ser>
        <c:ser>
          <c:idx val="41"/>
          <c:order val="41"/>
          <c:tx>
            <c:strRef>
              <c:f>'Tablas dinamicas'!$AW$17:$AW$20</c:f>
              <c:strCache>
                <c:ptCount val="1"/>
                <c:pt idx="0">
                  <c:v>Gilberto Hurtado - Promedio de Venta - Volvo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dinamicas'!$AW$21:$AW$25</c:f>
              <c:numCache>
                <c:formatCode>General</c:formatCode>
                <c:ptCount val="4"/>
                <c:pt idx="0">
                  <c:v>33846582.25</c:v>
                </c:pt>
                <c:pt idx="1">
                  <c:v>25304538</c:v>
                </c:pt>
                <c:pt idx="2">
                  <c:v>32700952.5</c:v>
                </c:pt>
                <c:pt idx="3">
                  <c:v>52687130.75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98CA-463C-AEA8-3DA337C78F38}"/>
            </c:ext>
          </c:extLst>
        </c:ser>
        <c:ser>
          <c:idx val="42"/>
          <c:order val="42"/>
          <c:tx>
            <c:strRef>
              <c:f>'Tablas dinamicas'!$AX$17:$AX$20</c:f>
              <c:strCache>
                <c:ptCount val="1"/>
                <c:pt idx="0">
                  <c:v>Gilberto Hurtado - Número de ventas - BMW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dinamicas'!$AX$21:$AX$25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98CA-463C-AEA8-3DA337C78F38}"/>
            </c:ext>
          </c:extLst>
        </c:ser>
        <c:ser>
          <c:idx val="43"/>
          <c:order val="43"/>
          <c:tx>
            <c:strRef>
              <c:f>'Tablas dinamicas'!$AY$17:$AY$20</c:f>
              <c:strCache>
                <c:ptCount val="1"/>
                <c:pt idx="0">
                  <c:v>Gilberto Hurtado - Número de ventas - Chevrolet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dinamicas'!$AY$21:$AY$25</c:f>
              <c:numCache>
                <c:formatCode>General</c:formatCode>
                <c:ptCount val="4"/>
                <c:pt idx="1">
                  <c:v>4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98CA-463C-AEA8-3DA337C78F38}"/>
            </c:ext>
          </c:extLst>
        </c:ser>
        <c:ser>
          <c:idx val="44"/>
          <c:order val="44"/>
          <c:tx>
            <c:strRef>
              <c:f>'Tablas dinamicas'!$AZ$17:$AZ$20</c:f>
              <c:strCache>
                <c:ptCount val="1"/>
                <c:pt idx="0">
                  <c:v>Gilberto Hurtado - Número de ventas - Ford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dinamicas'!$AZ$21:$AZ$25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98CA-463C-AEA8-3DA337C78F38}"/>
            </c:ext>
          </c:extLst>
        </c:ser>
        <c:ser>
          <c:idx val="45"/>
          <c:order val="45"/>
          <c:tx>
            <c:strRef>
              <c:f>'Tablas dinamicas'!$BA$17:$BA$20</c:f>
              <c:strCache>
                <c:ptCount val="1"/>
                <c:pt idx="0">
                  <c:v>Gilberto Hurtado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dinamicas'!$BA$21:$BA$25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98CA-463C-AEA8-3DA337C78F38}"/>
            </c:ext>
          </c:extLst>
        </c:ser>
        <c:ser>
          <c:idx val="46"/>
          <c:order val="46"/>
          <c:tx>
            <c:strRef>
              <c:f>'Tablas dinamicas'!$BB$17:$BB$20</c:f>
              <c:strCache>
                <c:ptCount val="1"/>
                <c:pt idx="0">
                  <c:v>Gilberto Hurtado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dinamicas'!$BB$21:$BB$25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98CA-463C-AEA8-3DA337C78F38}"/>
            </c:ext>
          </c:extLst>
        </c:ser>
        <c:ser>
          <c:idx val="47"/>
          <c:order val="47"/>
          <c:tx>
            <c:strRef>
              <c:f>'Tablas dinamicas'!$BC$17:$BC$20</c:f>
              <c:strCache>
                <c:ptCount val="1"/>
                <c:pt idx="0">
                  <c:v>Gilberto Hurtado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dinamicas'!$BC$21:$BC$25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98CA-463C-AEA8-3DA337C78F38}"/>
            </c:ext>
          </c:extLst>
        </c:ser>
        <c:ser>
          <c:idx val="48"/>
          <c:order val="48"/>
          <c:tx>
            <c:strRef>
              <c:f>'Tablas dinamicas'!$BF$17:$BF$20</c:f>
              <c:strCache>
                <c:ptCount val="1"/>
                <c:pt idx="0">
                  <c:v>Nicolas Sanchez - Promedio de Venta - BMW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dinamicas'!$BF$21:$BF$25</c:f>
              <c:numCache>
                <c:formatCode>General</c:formatCode>
                <c:ptCount val="4"/>
                <c:pt idx="0">
                  <c:v>36112679</c:v>
                </c:pt>
                <c:pt idx="3">
                  <c:v>20741595.5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8CA-463C-AEA8-3DA337C78F38}"/>
            </c:ext>
          </c:extLst>
        </c:ser>
        <c:ser>
          <c:idx val="49"/>
          <c:order val="49"/>
          <c:tx>
            <c:strRef>
              <c:f>'Tablas dinamicas'!$BG$17:$BG$20</c:f>
              <c:strCache>
                <c:ptCount val="1"/>
                <c:pt idx="0">
                  <c:v>Nicolas Sanchez - Promedio de Venta - Chevrolet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dinamicas'!$BG$21:$BG$25</c:f>
              <c:numCache>
                <c:formatCode>General</c:formatCode>
                <c:ptCount val="4"/>
                <c:pt idx="0">
                  <c:v>48006485.5</c:v>
                </c:pt>
                <c:pt idx="1">
                  <c:v>18492407.5</c:v>
                </c:pt>
                <c:pt idx="2">
                  <c:v>39665558</c:v>
                </c:pt>
                <c:pt idx="3">
                  <c:v>42443575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98CA-463C-AEA8-3DA337C78F38}"/>
            </c:ext>
          </c:extLst>
        </c:ser>
        <c:ser>
          <c:idx val="50"/>
          <c:order val="50"/>
          <c:tx>
            <c:strRef>
              <c:f>'Tablas dinamicas'!$BH$17:$BH$20</c:f>
              <c:strCache>
                <c:ptCount val="1"/>
                <c:pt idx="0">
                  <c:v>Nicolas Sanchez - Promedio de Venta - Ford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dinamicas'!$BH$21:$BH$25</c:f>
              <c:numCache>
                <c:formatCode>General</c:formatCode>
                <c:ptCount val="4"/>
                <c:pt idx="1">
                  <c:v>23833572.5</c:v>
                </c:pt>
                <c:pt idx="2">
                  <c:v>22415287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98CA-463C-AEA8-3DA337C78F38}"/>
            </c:ext>
          </c:extLst>
        </c:ser>
        <c:ser>
          <c:idx val="51"/>
          <c:order val="51"/>
          <c:tx>
            <c:strRef>
              <c:f>'Tablas dinamicas'!$BI$17:$BI$20</c:f>
              <c:strCache>
                <c:ptCount val="1"/>
                <c:pt idx="0">
                  <c:v>Nicolas Sanchez - Promedio de Venta - Hyundai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dinamicas'!$BI$21:$BI$25</c:f>
              <c:numCache>
                <c:formatCode>General</c:formatCode>
                <c:ptCount val="4"/>
                <c:pt idx="0">
                  <c:v>11569473</c:v>
                </c:pt>
                <c:pt idx="1">
                  <c:v>50033777</c:v>
                </c:pt>
                <c:pt idx="2">
                  <c:v>32869917</c:v>
                </c:pt>
                <c:pt idx="3">
                  <c:v>45875687.5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98CA-463C-AEA8-3DA337C78F38}"/>
            </c:ext>
          </c:extLst>
        </c:ser>
        <c:ser>
          <c:idx val="52"/>
          <c:order val="52"/>
          <c:tx>
            <c:strRef>
              <c:f>'Tablas dinamicas'!$BJ$17:$BJ$20</c:f>
              <c:strCache>
                <c:ptCount val="1"/>
                <c:pt idx="0">
                  <c:v>Nicolas Sanchez - Promedio de Venta - Mazda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dinamicas'!$BJ$21:$BJ$25</c:f>
              <c:numCache>
                <c:formatCode>General</c:formatCode>
                <c:ptCount val="4"/>
                <c:pt idx="0">
                  <c:v>56516103.5</c:v>
                </c:pt>
                <c:pt idx="1">
                  <c:v>34515342</c:v>
                </c:pt>
                <c:pt idx="2">
                  <c:v>34114954</c:v>
                </c:pt>
                <c:pt idx="3">
                  <c:v>53269309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8CA-463C-AEA8-3DA337C78F38}"/>
            </c:ext>
          </c:extLst>
        </c:ser>
        <c:ser>
          <c:idx val="53"/>
          <c:order val="53"/>
          <c:tx>
            <c:strRef>
              <c:f>'Tablas dinamicas'!$BK$17:$BK$20</c:f>
              <c:strCache>
                <c:ptCount val="1"/>
                <c:pt idx="0">
                  <c:v>Nicolas Sanchez - Promedio de Venta - Volvo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dinamicas'!$BK$21:$BK$25</c:f>
              <c:numCache>
                <c:formatCode>General</c:formatCode>
                <c:ptCount val="4"/>
                <c:pt idx="0">
                  <c:v>17676440</c:v>
                </c:pt>
                <c:pt idx="2">
                  <c:v>25100800.5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98CA-463C-AEA8-3DA337C78F38}"/>
            </c:ext>
          </c:extLst>
        </c:ser>
        <c:ser>
          <c:idx val="54"/>
          <c:order val="54"/>
          <c:tx>
            <c:strRef>
              <c:f>'Tablas dinamicas'!$BL$17:$BL$20</c:f>
              <c:strCache>
                <c:ptCount val="1"/>
                <c:pt idx="0">
                  <c:v>Nicolas Sanchez - Número de ventas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dinamicas'!$BL$21:$BL$25</c:f>
              <c:numCache>
                <c:formatCode>General</c:formatCode>
                <c:ptCount val="4"/>
                <c:pt idx="0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98CA-463C-AEA8-3DA337C78F38}"/>
            </c:ext>
          </c:extLst>
        </c:ser>
        <c:ser>
          <c:idx val="55"/>
          <c:order val="55"/>
          <c:tx>
            <c:strRef>
              <c:f>'Tablas dinamicas'!$BM$17:$BM$20</c:f>
              <c:strCache>
                <c:ptCount val="1"/>
                <c:pt idx="0">
                  <c:v>Nicolas Sanchez - Número de ventas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dinamicas'!$BM$21:$BM$25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98CA-463C-AEA8-3DA337C78F38}"/>
            </c:ext>
          </c:extLst>
        </c:ser>
        <c:ser>
          <c:idx val="56"/>
          <c:order val="56"/>
          <c:tx>
            <c:strRef>
              <c:f>'Tablas dinamicas'!$BN$17:$BN$20</c:f>
              <c:strCache>
                <c:ptCount val="1"/>
                <c:pt idx="0">
                  <c:v>Nicolas Sanchez - Número de ventas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dinamicas'!$BN$21:$BN$25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98CA-463C-AEA8-3DA337C78F38}"/>
            </c:ext>
          </c:extLst>
        </c:ser>
        <c:ser>
          <c:idx val="57"/>
          <c:order val="57"/>
          <c:tx>
            <c:strRef>
              <c:f>'Tablas dinamicas'!$BO$17:$BO$20</c:f>
              <c:strCache>
                <c:ptCount val="1"/>
                <c:pt idx="0">
                  <c:v>Nicolas Sanchez - Número de ventas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dinamicas'!$BO$21:$BO$25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98CA-463C-AEA8-3DA337C78F38}"/>
            </c:ext>
          </c:extLst>
        </c:ser>
        <c:ser>
          <c:idx val="58"/>
          <c:order val="58"/>
          <c:tx>
            <c:strRef>
              <c:f>'Tablas dinamicas'!$BP$17:$BP$20</c:f>
              <c:strCache>
                <c:ptCount val="1"/>
                <c:pt idx="0">
                  <c:v>Nicolas Sanchez - Número de ventas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dinamicas'!$BP$21:$BP$25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CDC5-4E99-9C51-F5B06A1FABCC}"/>
            </c:ext>
          </c:extLst>
        </c:ser>
        <c:ser>
          <c:idx val="59"/>
          <c:order val="59"/>
          <c:tx>
            <c:strRef>
              <c:f>'Tablas dinamicas'!$BQ$17:$BQ$20</c:f>
              <c:strCache>
                <c:ptCount val="1"/>
                <c:pt idx="0">
                  <c:v>Nicolas Sanchez - Número de ventas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dinamicas'!$BQ$21:$BQ$25</c:f>
              <c:numCache>
                <c:formatCode>General</c:formatCode>
                <c:ptCount val="4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CDC5-4E99-9C51-F5B06A1FABCC}"/>
            </c:ext>
          </c:extLst>
        </c:ser>
        <c:ser>
          <c:idx val="60"/>
          <c:order val="60"/>
          <c:tx>
            <c:strRef>
              <c:f>'Tablas dinamicas'!$BT$17:$BT$20</c:f>
              <c:strCache>
                <c:ptCount val="1"/>
                <c:pt idx="0">
                  <c:v>Robert Castaño - Promedio de Venta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dinamicas'!$BT$21:$BT$25</c:f>
              <c:numCache>
                <c:formatCode>General</c:formatCode>
                <c:ptCount val="4"/>
                <c:pt idx="2">
                  <c:v>28310739</c:v>
                </c:pt>
                <c:pt idx="3">
                  <c:v>38578445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CDC5-4E99-9C51-F5B06A1FABCC}"/>
            </c:ext>
          </c:extLst>
        </c:ser>
        <c:ser>
          <c:idx val="61"/>
          <c:order val="61"/>
          <c:tx>
            <c:strRef>
              <c:f>'Tablas dinamicas'!$BU$17:$BU$20</c:f>
              <c:strCache>
                <c:ptCount val="1"/>
                <c:pt idx="0">
                  <c:v>Robert Castaño - Promedio de Venta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dinamicas'!$BU$21:$BU$25</c:f>
              <c:numCache>
                <c:formatCode>General</c:formatCode>
                <c:ptCount val="4"/>
                <c:pt idx="0">
                  <c:v>42509651</c:v>
                </c:pt>
                <c:pt idx="1">
                  <c:v>31003746</c:v>
                </c:pt>
                <c:pt idx="2">
                  <c:v>34559697.5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CDC5-4E99-9C51-F5B06A1FABCC}"/>
            </c:ext>
          </c:extLst>
        </c:ser>
        <c:ser>
          <c:idx val="62"/>
          <c:order val="62"/>
          <c:tx>
            <c:strRef>
              <c:f>'Tablas dinamicas'!$BV$17:$BV$20</c:f>
              <c:strCache>
                <c:ptCount val="1"/>
                <c:pt idx="0">
                  <c:v>Robert Castaño - Promedio de Venta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dinamicas'!$BV$21:$BV$25</c:f>
              <c:numCache>
                <c:formatCode>General</c:formatCode>
                <c:ptCount val="4"/>
                <c:pt idx="3">
                  <c:v>65970852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CDC5-4E99-9C51-F5B06A1FABCC}"/>
            </c:ext>
          </c:extLst>
        </c:ser>
        <c:ser>
          <c:idx val="63"/>
          <c:order val="63"/>
          <c:tx>
            <c:strRef>
              <c:f>'Tablas dinamicas'!$BW$17:$BW$20</c:f>
              <c:strCache>
                <c:ptCount val="1"/>
                <c:pt idx="0">
                  <c:v>Robert Castaño - Promedio de Venta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dinamicas'!$BW$21:$BW$25</c:f>
              <c:numCache>
                <c:formatCode>General</c:formatCode>
                <c:ptCount val="4"/>
                <c:pt idx="0">
                  <c:v>36054593.5</c:v>
                </c:pt>
                <c:pt idx="1">
                  <c:v>17257031</c:v>
                </c:pt>
                <c:pt idx="2">
                  <c:v>48349131</c:v>
                </c:pt>
                <c:pt idx="3">
                  <c:v>26142162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CDC5-4E99-9C51-F5B06A1FABCC}"/>
            </c:ext>
          </c:extLst>
        </c:ser>
        <c:ser>
          <c:idx val="64"/>
          <c:order val="64"/>
          <c:tx>
            <c:strRef>
              <c:f>'Tablas dinamicas'!$BX$17:$BX$20</c:f>
              <c:strCache>
                <c:ptCount val="1"/>
                <c:pt idx="0">
                  <c:v>Robert Castaño - Promedio de Venta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dinamicas'!$BX$21:$BX$25</c:f>
              <c:numCache>
                <c:formatCode>General</c:formatCode>
                <c:ptCount val="4"/>
                <c:pt idx="0">
                  <c:v>48133246.333333336</c:v>
                </c:pt>
                <c:pt idx="1">
                  <c:v>20685130</c:v>
                </c:pt>
                <c:pt idx="3">
                  <c:v>20114713.5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CDC5-4E99-9C51-F5B06A1FABCC}"/>
            </c:ext>
          </c:extLst>
        </c:ser>
        <c:ser>
          <c:idx val="65"/>
          <c:order val="65"/>
          <c:tx>
            <c:strRef>
              <c:f>'Tablas dinamicas'!$BY$17:$BY$20</c:f>
              <c:strCache>
                <c:ptCount val="1"/>
                <c:pt idx="0">
                  <c:v>Robert Castaño - Promedio de Venta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dinamicas'!$BY$21:$BY$25</c:f>
              <c:numCache>
                <c:formatCode>General</c:formatCode>
                <c:ptCount val="4"/>
                <c:pt idx="0">
                  <c:v>54044956</c:v>
                </c:pt>
                <c:pt idx="1">
                  <c:v>61927134</c:v>
                </c:pt>
                <c:pt idx="2">
                  <c:v>21135398</c:v>
                </c:pt>
                <c:pt idx="3">
                  <c:v>41960575.5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CDC5-4E99-9C51-F5B06A1FABCC}"/>
            </c:ext>
          </c:extLst>
        </c:ser>
        <c:ser>
          <c:idx val="66"/>
          <c:order val="66"/>
          <c:tx>
            <c:strRef>
              <c:f>'Tablas dinamicas'!$BZ$17:$BZ$20</c:f>
              <c:strCache>
                <c:ptCount val="1"/>
                <c:pt idx="0">
                  <c:v>Robert Castaño - Número de ventas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dinamicas'!$BZ$21:$BZ$25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CDC5-4E99-9C51-F5B06A1FABCC}"/>
            </c:ext>
          </c:extLst>
        </c:ser>
        <c:ser>
          <c:idx val="67"/>
          <c:order val="67"/>
          <c:tx>
            <c:strRef>
              <c:f>'Tablas dinamicas'!$CA$17:$CA$20</c:f>
              <c:strCache>
                <c:ptCount val="1"/>
                <c:pt idx="0">
                  <c:v>Robert Castaño - Número de ventas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dinamicas'!$CA$21:$CA$25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CDC5-4E99-9C51-F5B06A1FABCC}"/>
            </c:ext>
          </c:extLst>
        </c:ser>
        <c:ser>
          <c:idx val="68"/>
          <c:order val="68"/>
          <c:tx>
            <c:strRef>
              <c:f>'Tablas dinamicas'!$CB$17:$CB$20</c:f>
              <c:strCache>
                <c:ptCount val="1"/>
                <c:pt idx="0">
                  <c:v>Robert Castaño - Número de ventas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dinamicas'!$CB$21:$CB$25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CDC5-4E99-9C51-F5B06A1FABCC}"/>
            </c:ext>
          </c:extLst>
        </c:ser>
        <c:ser>
          <c:idx val="69"/>
          <c:order val="69"/>
          <c:tx>
            <c:strRef>
              <c:f>'Tablas dinamicas'!$CC$17:$CC$20</c:f>
              <c:strCache>
                <c:ptCount val="1"/>
                <c:pt idx="0">
                  <c:v>Robert Castaño - Número de ventas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dinamicas'!$CC$21:$CC$25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CDC5-4E99-9C51-F5B06A1FABCC}"/>
            </c:ext>
          </c:extLst>
        </c:ser>
        <c:ser>
          <c:idx val="70"/>
          <c:order val="70"/>
          <c:tx>
            <c:strRef>
              <c:f>'Tablas dinamicas'!$CD$17:$CD$20</c:f>
              <c:strCache>
                <c:ptCount val="1"/>
                <c:pt idx="0">
                  <c:v>Robert Castaño - Número de ventas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dinamicas'!$CD$21:$CD$25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CDC5-4E99-9C51-F5B06A1FABCC}"/>
            </c:ext>
          </c:extLst>
        </c:ser>
        <c:ser>
          <c:idx val="71"/>
          <c:order val="71"/>
          <c:tx>
            <c:strRef>
              <c:f>'Tablas dinamicas'!$CE$17:$CE$20</c:f>
              <c:strCache>
                <c:ptCount val="1"/>
                <c:pt idx="0">
                  <c:v>Robert Castaño - Número de ventas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dinamicas'!$CE$21:$CE$25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CDC5-4E99-9C51-F5B06A1FABCC}"/>
            </c:ext>
          </c:extLst>
        </c:ser>
        <c:ser>
          <c:idx val="72"/>
          <c:order val="72"/>
          <c:tx>
            <c:strRef>
              <c:f>'Tablas dinamicas'!$CH$17:$CH$20</c:f>
              <c:strCache>
                <c:ptCount val="1"/>
                <c:pt idx="0">
                  <c:v>Sandra Lopez - Promedio de Venta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dinamicas'!$CH$21:$CH$25</c:f>
              <c:numCache>
                <c:formatCode>General</c:formatCode>
                <c:ptCount val="4"/>
                <c:pt idx="1">
                  <c:v>35450827</c:v>
                </c:pt>
                <c:pt idx="2">
                  <c:v>43505725.666666664</c:v>
                </c:pt>
                <c:pt idx="3">
                  <c:v>47788880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CDC5-4E99-9C51-F5B06A1FABCC}"/>
            </c:ext>
          </c:extLst>
        </c:ser>
        <c:ser>
          <c:idx val="73"/>
          <c:order val="73"/>
          <c:tx>
            <c:strRef>
              <c:f>'Tablas dinamicas'!$CI$17:$CI$20</c:f>
              <c:strCache>
                <c:ptCount val="1"/>
                <c:pt idx="0">
                  <c:v>Sandra Lopez - Promedio de Venta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dinamicas'!$CI$21:$CI$25</c:f>
              <c:numCache>
                <c:formatCode>General</c:formatCode>
                <c:ptCount val="4"/>
                <c:pt idx="1">
                  <c:v>28954357.5</c:v>
                </c:pt>
                <c:pt idx="3">
                  <c:v>27414248.5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CDC5-4E99-9C51-F5B06A1FABCC}"/>
            </c:ext>
          </c:extLst>
        </c:ser>
        <c:ser>
          <c:idx val="74"/>
          <c:order val="74"/>
          <c:tx>
            <c:strRef>
              <c:f>'Tablas dinamicas'!$CJ$17:$CJ$20</c:f>
              <c:strCache>
                <c:ptCount val="1"/>
                <c:pt idx="0">
                  <c:v>Sandra Lopez - Promedio de Venta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dinamicas'!$CJ$21:$CJ$25</c:f>
              <c:numCache>
                <c:formatCode>General</c:formatCode>
                <c:ptCount val="4"/>
                <c:pt idx="1">
                  <c:v>53036970</c:v>
                </c:pt>
                <c:pt idx="3">
                  <c:v>23059343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CDC5-4E99-9C51-F5B06A1FABCC}"/>
            </c:ext>
          </c:extLst>
        </c:ser>
        <c:ser>
          <c:idx val="75"/>
          <c:order val="75"/>
          <c:tx>
            <c:strRef>
              <c:f>'Tablas dinamicas'!$CK$17:$CK$20</c:f>
              <c:strCache>
                <c:ptCount val="1"/>
                <c:pt idx="0">
                  <c:v>Sandra Lopez - Promedio de Venta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dinamicas'!$CK$21:$CK$25</c:f>
              <c:numCache>
                <c:formatCode>General</c:formatCode>
                <c:ptCount val="4"/>
                <c:pt idx="0">
                  <c:v>34482169</c:v>
                </c:pt>
                <c:pt idx="1">
                  <c:v>54029275</c:v>
                </c:pt>
                <c:pt idx="3">
                  <c:v>54835625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CDC5-4E99-9C51-F5B06A1FABCC}"/>
            </c:ext>
          </c:extLst>
        </c:ser>
        <c:ser>
          <c:idx val="76"/>
          <c:order val="76"/>
          <c:tx>
            <c:strRef>
              <c:f>'Tablas dinamicas'!$CL$17:$CL$20</c:f>
              <c:strCache>
                <c:ptCount val="1"/>
                <c:pt idx="0">
                  <c:v>Sandra Lopez - Promedio de Venta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dinamicas'!$CL$21:$CL$25</c:f>
              <c:numCache>
                <c:formatCode>General</c:formatCode>
                <c:ptCount val="4"/>
                <c:pt idx="1">
                  <c:v>22615796.5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CDC5-4E99-9C51-F5B06A1FABCC}"/>
            </c:ext>
          </c:extLst>
        </c:ser>
        <c:ser>
          <c:idx val="77"/>
          <c:order val="77"/>
          <c:tx>
            <c:strRef>
              <c:f>'Tablas dinamicas'!$CM$17:$CM$20</c:f>
              <c:strCache>
                <c:ptCount val="1"/>
                <c:pt idx="0">
                  <c:v>Sandra Lopez - Promedio de Venta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dinamicas'!$CM$21:$CM$25</c:f>
              <c:numCache>
                <c:formatCode>General</c:formatCode>
                <c:ptCount val="4"/>
                <c:pt idx="1">
                  <c:v>62740849</c:v>
                </c:pt>
                <c:pt idx="3">
                  <c:v>22741137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CDC5-4E99-9C51-F5B06A1FABCC}"/>
            </c:ext>
          </c:extLst>
        </c:ser>
        <c:ser>
          <c:idx val="78"/>
          <c:order val="78"/>
          <c:tx>
            <c:strRef>
              <c:f>'Tablas dinamicas'!$CN$17:$CN$20</c:f>
              <c:strCache>
                <c:ptCount val="1"/>
                <c:pt idx="0">
                  <c:v>Sandra Lopez - Número de ventas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dinamicas'!$CN$21:$CN$25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CDC5-4E99-9C51-F5B06A1FABCC}"/>
            </c:ext>
          </c:extLst>
        </c:ser>
        <c:ser>
          <c:idx val="79"/>
          <c:order val="79"/>
          <c:tx>
            <c:strRef>
              <c:f>'Tablas dinamicas'!$CO$17:$CO$20</c:f>
              <c:strCache>
                <c:ptCount val="1"/>
                <c:pt idx="0">
                  <c:v>Sandra Lopez - Número de ventas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dinamicas'!$CO$21:$CO$25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CDC5-4E99-9C51-F5B06A1FABCC}"/>
            </c:ext>
          </c:extLst>
        </c:ser>
        <c:ser>
          <c:idx val="80"/>
          <c:order val="80"/>
          <c:tx>
            <c:strRef>
              <c:f>'Tablas dinamicas'!$CP$17:$CP$20</c:f>
              <c:strCache>
                <c:ptCount val="1"/>
                <c:pt idx="0">
                  <c:v>Sandra Lopez - Número de ventas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dinamicas'!$CP$21:$CP$25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CDC5-4E99-9C51-F5B06A1FABCC}"/>
            </c:ext>
          </c:extLst>
        </c:ser>
        <c:ser>
          <c:idx val="81"/>
          <c:order val="81"/>
          <c:tx>
            <c:strRef>
              <c:f>'Tablas dinamicas'!$CQ$17:$CQ$20</c:f>
              <c:strCache>
                <c:ptCount val="1"/>
                <c:pt idx="0">
                  <c:v>Sandra Lopez - Número de ventas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dinamicas'!$CQ$21:$CQ$25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CDC5-4E99-9C51-F5B06A1FABCC}"/>
            </c:ext>
          </c:extLst>
        </c:ser>
        <c:ser>
          <c:idx val="82"/>
          <c:order val="82"/>
          <c:tx>
            <c:strRef>
              <c:f>'Tablas dinamicas'!$CR$17:$CR$20</c:f>
              <c:strCache>
                <c:ptCount val="1"/>
                <c:pt idx="0">
                  <c:v>Sandra Lopez - Número de ventas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dinamicas'!$CR$21:$CR$25</c:f>
              <c:numCache>
                <c:formatCode>General</c:formatCode>
                <c:ptCount val="4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CDC5-4E99-9C51-F5B06A1FABCC}"/>
            </c:ext>
          </c:extLst>
        </c:ser>
        <c:ser>
          <c:idx val="83"/>
          <c:order val="83"/>
          <c:tx>
            <c:strRef>
              <c:f>'Tablas dinamicas'!$CS$17:$CS$20</c:f>
              <c:strCache>
                <c:ptCount val="1"/>
                <c:pt idx="0">
                  <c:v>Sandra Lopez - Número de ventas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dinamicas'!$CS$21:$CS$25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CDC5-4E99-9C51-F5B06A1FABCC}"/>
            </c:ext>
          </c:extLst>
        </c:ser>
        <c:ser>
          <c:idx val="84"/>
          <c:order val="84"/>
          <c:tx>
            <c:strRef>
              <c:f>'Tablas dinamicas'!$CV$17:$CV$20</c:f>
              <c:strCache>
                <c:ptCount val="1"/>
                <c:pt idx="0">
                  <c:v>Santiago Perez - Promedio de Venta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dinamicas'!$CV$21:$CV$25</c:f>
              <c:numCache>
                <c:formatCode>General</c:formatCode>
                <c:ptCount val="4"/>
                <c:pt idx="2">
                  <c:v>32921090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CDC5-4E99-9C51-F5B06A1FABCC}"/>
            </c:ext>
          </c:extLst>
        </c:ser>
        <c:ser>
          <c:idx val="85"/>
          <c:order val="85"/>
          <c:tx>
            <c:strRef>
              <c:f>'Tablas dinamicas'!$CW$17:$CW$20</c:f>
              <c:strCache>
                <c:ptCount val="1"/>
                <c:pt idx="0">
                  <c:v>Santiago Perez - Promedio de Venta - Hyundai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dinamicas'!$CW$21:$CW$25</c:f>
              <c:numCache>
                <c:formatCode>General</c:formatCode>
                <c:ptCount val="4"/>
                <c:pt idx="0">
                  <c:v>46402085.5</c:v>
                </c:pt>
                <c:pt idx="3">
                  <c:v>59891555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CDC5-4E99-9C51-F5B06A1FABCC}"/>
            </c:ext>
          </c:extLst>
        </c:ser>
        <c:ser>
          <c:idx val="86"/>
          <c:order val="86"/>
          <c:tx>
            <c:strRef>
              <c:f>'Tablas dinamicas'!$CX$17:$CX$20</c:f>
              <c:strCache>
                <c:ptCount val="1"/>
                <c:pt idx="0">
                  <c:v>Santiago Perez - Promedio de Venta - Mazda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dinamicas'!$CX$21:$CX$25</c:f>
              <c:numCache>
                <c:formatCode>General</c:formatCode>
                <c:ptCount val="4"/>
                <c:pt idx="1">
                  <c:v>64205697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CDC5-4E99-9C51-F5B06A1FABCC}"/>
            </c:ext>
          </c:extLst>
        </c:ser>
        <c:ser>
          <c:idx val="87"/>
          <c:order val="87"/>
          <c:tx>
            <c:strRef>
              <c:f>'Tablas dinamicas'!$CY$17:$CY$20</c:f>
              <c:strCache>
                <c:ptCount val="1"/>
                <c:pt idx="0">
                  <c:v>Santiago Perez - Promedio de Venta - Volvo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dinamicas'!$CY$21:$CY$25</c:f>
              <c:numCache>
                <c:formatCode>General</c:formatCode>
                <c:ptCount val="4"/>
                <c:pt idx="2">
                  <c:v>42952054</c:v>
                </c:pt>
                <c:pt idx="3">
                  <c:v>41197196.5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CDC5-4E99-9C51-F5B06A1FABCC}"/>
            </c:ext>
          </c:extLst>
        </c:ser>
        <c:ser>
          <c:idx val="88"/>
          <c:order val="88"/>
          <c:tx>
            <c:strRef>
              <c:f>'Tablas dinamicas'!$CZ$17:$CZ$20</c:f>
              <c:strCache>
                <c:ptCount val="1"/>
                <c:pt idx="0">
                  <c:v>Santiago Perez - Número de ventas - BMW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dinamicas'!$CZ$21:$CZ$25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CDC5-4E99-9C51-F5B06A1FABCC}"/>
            </c:ext>
          </c:extLst>
        </c:ser>
        <c:ser>
          <c:idx val="89"/>
          <c:order val="89"/>
          <c:tx>
            <c:strRef>
              <c:f>'Tablas dinamicas'!$DA$17:$DA$20</c:f>
              <c:strCache>
                <c:ptCount val="1"/>
                <c:pt idx="0">
                  <c:v>Santiago Perez - Número de ventas - Hyundai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dinamicas'!$DA$21:$DA$25</c:f>
              <c:numCache>
                <c:formatCode>General</c:formatCode>
                <c:ptCount val="4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CDC5-4E99-9C51-F5B06A1FABCC}"/>
            </c:ext>
          </c:extLst>
        </c:ser>
        <c:ser>
          <c:idx val="90"/>
          <c:order val="90"/>
          <c:tx>
            <c:strRef>
              <c:f>'Tablas dinamicas'!$DB$17:$DB$20</c:f>
              <c:strCache>
                <c:ptCount val="1"/>
                <c:pt idx="0">
                  <c:v>Santiago Perez - Número de ventas - Mazda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dinamicas'!$DB$21:$DB$25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CDC5-4E99-9C51-F5B06A1FABCC}"/>
            </c:ext>
          </c:extLst>
        </c:ser>
        <c:ser>
          <c:idx val="91"/>
          <c:order val="91"/>
          <c:tx>
            <c:strRef>
              <c:f>'Tablas dinamicas'!$DC$17:$DC$20</c:f>
              <c:strCache>
                <c:ptCount val="1"/>
                <c:pt idx="0">
                  <c:v>Santiago Perez - Número de ventas - Volvo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dinamicas'!$DC$21:$DC$25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CDC5-4E99-9C51-F5B06A1FABCC}"/>
            </c:ext>
          </c:extLst>
        </c:ser>
        <c:ser>
          <c:idx val="92"/>
          <c:order val="92"/>
          <c:tx>
            <c:strRef>
              <c:f>'Tablas dinamicas'!$DF$17:$DF$20</c:f>
              <c:strCache>
                <c:ptCount val="1"/>
                <c:pt idx="0">
                  <c:v>Vicky Ortiz - Promedio de Venta - BMW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dinamicas'!$DF$21:$DF$25</c:f>
              <c:numCache>
                <c:formatCode>General</c:formatCode>
                <c:ptCount val="4"/>
                <c:pt idx="1">
                  <c:v>30779419.5</c:v>
                </c:pt>
                <c:pt idx="3">
                  <c:v>27261466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CDC5-4E99-9C51-F5B06A1FABCC}"/>
            </c:ext>
          </c:extLst>
        </c:ser>
        <c:ser>
          <c:idx val="93"/>
          <c:order val="93"/>
          <c:tx>
            <c:strRef>
              <c:f>'Tablas dinamicas'!$DG$17:$DG$20</c:f>
              <c:strCache>
                <c:ptCount val="1"/>
                <c:pt idx="0">
                  <c:v>Vicky Ortiz - Promedio de Venta - Chevrolet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dinamicas'!$DG$21:$DG$25</c:f>
              <c:numCache>
                <c:formatCode>General</c:formatCode>
                <c:ptCount val="4"/>
                <c:pt idx="0">
                  <c:v>47908941.666666664</c:v>
                </c:pt>
                <c:pt idx="2">
                  <c:v>27434970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CDC5-4E99-9C51-F5B06A1FABCC}"/>
            </c:ext>
          </c:extLst>
        </c:ser>
        <c:ser>
          <c:idx val="94"/>
          <c:order val="94"/>
          <c:tx>
            <c:strRef>
              <c:f>'Tablas dinamicas'!$DH$17:$DH$20</c:f>
              <c:strCache>
                <c:ptCount val="1"/>
                <c:pt idx="0">
                  <c:v>Vicky Ortiz - Promedio de Venta - Hyundai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dinamicas'!$DH$21:$DH$25</c:f>
              <c:numCache>
                <c:formatCode>General</c:formatCode>
                <c:ptCount val="4"/>
                <c:pt idx="0">
                  <c:v>44741667.5</c:v>
                </c:pt>
                <c:pt idx="1">
                  <c:v>33114595</c:v>
                </c:pt>
                <c:pt idx="3">
                  <c:v>38027221.75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CDC5-4E99-9C51-F5B06A1FABCC}"/>
            </c:ext>
          </c:extLst>
        </c:ser>
        <c:ser>
          <c:idx val="95"/>
          <c:order val="95"/>
          <c:tx>
            <c:strRef>
              <c:f>'Tablas dinamicas'!$DI$17:$DI$20</c:f>
              <c:strCache>
                <c:ptCount val="1"/>
                <c:pt idx="0">
                  <c:v>Vicky Ortiz - Promedio de Venta - Mazda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dinamicas'!$DI$21:$DI$25</c:f>
              <c:numCache>
                <c:formatCode>General</c:formatCode>
                <c:ptCount val="4"/>
                <c:pt idx="2">
                  <c:v>43724172</c:v>
                </c:pt>
                <c:pt idx="3">
                  <c:v>32996976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CDC5-4E99-9C51-F5B06A1FABCC}"/>
            </c:ext>
          </c:extLst>
        </c:ser>
        <c:ser>
          <c:idx val="96"/>
          <c:order val="96"/>
          <c:tx>
            <c:strRef>
              <c:f>'Tablas dinamicas'!$DJ$17:$DJ$20</c:f>
              <c:strCache>
                <c:ptCount val="1"/>
                <c:pt idx="0">
                  <c:v>Vicky Ortiz - Promedio de Venta - Volvo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dinamicas'!$DJ$21:$DJ$25</c:f>
              <c:numCache>
                <c:formatCode>General</c:formatCode>
                <c:ptCount val="4"/>
                <c:pt idx="1">
                  <c:v>13367738</c:v>
                </c:pt>
                <c:pt idx="2">
                  <c:v>31577983.5</c:v>
                </c:pt>
                <c:pt idx="3">
                  <c:v>42984305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CDC5-4E99-9C51-F5B06A1FABCC}"/>
            </c:ext>
          </c:extLst>
        </c:ser>
        <c:ser>
          <c:idx val="97"/>
          <c:order val="97"/>
          <c:tx>
            <c:strRef>
              <c:f>'Tablas dinamicas'!$DK$17:$DK$20</c:f>
              <c:strCache>
                <c:ptCount val="1"/>
                <c:pt idx="0">
                  <c:v>Vicky Ortiz - Número de ventas - BMW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dinamicas'!$DK$21:$DK$25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CDC5-4E99-9C51-F5B06A1FABCC}"/>
            </c:ext>
          </c:extLst>
        </c:ser>
        <c:ser>
          <c:idx val="98"/>
          <c:order val="98"/>
          <c:tx>
            <c:strRef>
              <c:f>'Tablas dinamicas'!$DL$17:$DL$20</c:f>
              <c:strCache>
                <c:ptCount val="1"/>
                <c:pt idx="0">
                  <c:v>Vicky Ortiz - Número de ventas - Chevrolet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dinamicas'!$DL$21:$DL$25</c:f>
              <c:numCache>
                <c:formatCode>General</c:formatCode>
                <c:ptCount val="4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CDC5-4E99-9C51-F5B06A1FABCC}"/>
            </c:ext>
          </c:extLst>
        </c:ser>
        <c:ser>
          <c:idx val="99"/>
          <c:order val="99"/>
          <c:tx>
            <c:strRef>
              <c:f>'Tablas dinamicas'!$DM$17:$DM$20</c:f>
              <c:strCache>
                <c:ptCount val="1"/>
                <c:pt idx="0">
                  <c:v>Vicky Ortiz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dinamicas'!$DM$21:$DM$25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CDC5-4E99-9C51-F5B06A1FABCC}"/>
            </c:ext>
          </c:extLst>
        </c:ser>
        <c:ser>
          <c:idx val="100"/>
          <c:order val="100"/>
          <c:tx>
            <c:strRef>
              <c:f>'Tablas dinamicas'!$DN$17:$DN$20</c:f>
              <c:strCache>
                <c:ptCount val="1"/>
                <c:pt idx="0">
                  <c:v>Vicky Ortiz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dinamicas'!$DN$21:$DN$25</c:f>
              <c:numCache>
                <c:formatCode>General</c:formatCode>
                <c:ptCount val="4"/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CDC5-4E99-9C51-F5B06A1FABCC}"/>
            </c:ext>
          </c:extLst>
        </c:ser>
        <c:ser>
          <c:idx val="101"/>
          <c:order val="101"/>
          <c:tx>
            <c:strRef>
              <c:f>'Tablas dinamicas'!$DO$17:$DO$20</c:f>
              <c:strCache>
                <c:ptCount val="1"/>
                <c:pt idx="0">
                  <c:v>Vicky Ortiz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dinamicas'!$DO$21:$DO$25</c:f>
              <c:numCache>
                <c:formatCode>General</c:formatCode>
                <c:ptCount val="4"/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CDC5-4E99-9C51-F5B06A1FA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600767"/>
        <c:axId val="643601759"/>
      </c:barChart>
      <c:catAx>
        <c:axId val="64360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1759"/>
        <c:crosses val="autoZero"/>
        <c:auto val="1"/>
        <c:lblAlgn val="ctr"/>
        <c:lblOffset val="100"/>
        <c:noMultiLvlLbl val="0"/>
      </c:catAx>
      <c:valAx>
        <c:axId val="64360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 y Porcentaje</a:t>
            </a:r>
            <a:r>
              <a:rPr lang="en-US" sz="20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Marca</a:t>
            </a:r>
            <a:endParaRPr lang="en-US"/>
          </a:p>
        </c:rich>
      </c:tx>
      <c:layout>
        <c:manualLayout>
          <c:xMode val="edge"/>
          <c:yMode val="edge"/>
          <c:x val="0.14344584440402905"/>
          <c:y val="8.6138069950558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dinamicas'!$B$27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1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1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4C-4D31-BBC2-92DB9A9A2A3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2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2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4C-4D31-BBC2-92DB9A9A2A3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3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3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4C-4D31-BBC2-92DB9A9A2A3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4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4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4C-4D31-BBC2-92DB9A9A2A3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5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5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4C-4D31-BBC2-92DB9A9A2A3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6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6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D4C-4D31-BBC2-92DB9A9A2A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dinamicas'!$A$28:$A$34</c:f>
              <c:strCache>
                <c:ptCount val="6"/>
                <c:pt idx="0">
                  <c:v>BMW</c:v>
                </c:pt>
                <c:pt idx="1">
                  <c:v>Chevrolet</c:v>
                </c:pt>
                <c:pt idx="2">
                  <c:v>Ford</c:v>
                </c:pt>
                <c:pt idx="3">
                  <c:v>Hyundai</c:v>
                </c:pt>
                <c:pt idx="4">
                  <c:v>Mazda</c:v>
                </c:pt>
                <c:pt idx="5">
                  <c:v>Volvo</c:v>
                </c:pt>
              </c:strCache>
            </c:strRef>
          </c:cat>
          <c:val>
            <c:numRef>
              <c:f>'Tablas dinamicas'!$B$28:$B$34</c:f>
              <c:numCache>
                <c:formatCode>"$"\ #,##0.00</c:formatCode>
                <c:ptCount val="6"/>
                <c:pt idx="0">
                  <c:v>2028655870</c:v>
                </c:pt>
                <c:pt idx="1">
                  <c:v>2061828654</c:v>
                </c:pt>
                <c:pt idx="2">
                  <c:v>344880466</c:v>
                </c:pt>
                <c:pt idx="3">
                  <c:v>2743868313</c:v>
                </c:pt>
                <c:pt idx="4">
                  <c:v>2186892027</c:v>
                </c:pt>
                <c:pt idx="5">
                  <c:v>2108014360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4C-4D31-BBC2-92DB9A9A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</a:t>
            </a:r>
            <a:r>
              <a:rPr lang="en-US" sz="24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asesor</a:t>
            </a:r>
            <a:endPara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dinamicas'!$B$37:$B$38</c:f>
              <c:strCache>
                <c:ptCount val="1"/>
                <c:pt idx="0">
                  <c:v>Alejandro Villamil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dinamicas'!$B$39:$B$43</c:f>
              <c:numCache>
                <c:formatCode>_-[$$-240A]\ * #,##0.00_-;\-[$$-240A]\ * #,##0.00_-;_-[$$-240A]\ * "-"??_-;_-@_-</c:formatCode>
                <c:ptCount val="4"/>
                <c:pt idx="0">
                  <c:v>518567687</c:v>
                </c:pt>
                <c:pt idx="1">
                  <c:v>363667508</c:v>
                </c:pt>
                <c:pt idx="2">
                  <c:v>358860241</c:v>
                </c:pt>
                <c:pt idx="3">
                  <c:v>538538973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58-4348-B7D0-332B31C78935}"/>
            </c:ext>
          </c:extLst>
        </c:ser>
        <c:ser>
          <c:idx val="1"/>
          <c:order val="1"/>
          <c:tx>
            <c:strRef>
              <c:f>'Tablas dinamicas'!$C$37:$C$38</c:f>
              <c:strCache>
                <c:ptCount val="1"/>
                <c:pt idx="0">
                  <c:v>Beatriz Osorio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dinamicas'!$C$39:$C$43</c:f>
              <c:numCache>
                <c:formatCode>_-[$$-240A]\ * #,##0.00_-;\-[$$-240A]\ * #,##0.00_-;_-[$$-240A]\ * "-"??_-;_-@_-</c:formatCode>
                <c:ptCount val="4"/>
                <c:pt idx="0">
                  <c:v>260822316</c:v>
                </c:pt>
                <c:pt idx="1">
                  <c:v>717685004</c:v>
                </c:pt>
                <c:pt idx="2">
                  <c:v>802560684</c:v>
                </c:pt>
                <c:pt idx="3">
                  <c:v>560386874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84-474F-8062-FD895D19149A}"/>
            </c:ext>
          </c:extLst>
        </c:ser>
        <c:ser>
          <c:idx val="2"/>
          <c:order val="2"/>
          <c:tx>
            <c:strRef>
              <c:f>'Tablas dinamicas'!$D$37:$D$38</c:f>
              <c:strCache>
                <c:ptCount val="1"/>
                <c:pt idx="0">
                  <c:v>Carolina Romero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dinamicas'!$D$39:$D$43</c:f>
              <c:numCache>
                <c:formatCode>_-[$$-240A]\ * #,##0.00_-;\-[$$-240A]\ * #,##0.00_-;_-[$$-240A]\ * "-"??_-;_-@_-</c:formatCode>
                <c:ptCount val="4"/>
                <c:pt idx="0">
                  <c:v>81413444</c:v>
                </c:pt>
                <c:pt idx="1">
                  <c:v>93307140</c:v>
                </c:pt>
                <c:pt idx="2">
                  <c:v>139032540</c:v>
                </c:pt>
                <c:pt idx="3">
                  <c:v>101634323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84-474F-8062-FD895D19149A}"/>
            </c:ext>
          </c:extLst>
        </c:ser>
        <c:ser>
          <c:idx val="3"/>
          <c:order val="3"/>
          <c:tx>
            <c:strRef>
              <c:f>'Tablas dinamicas'!$E$37:$E$38</c:f>
              <c:strCache>
                <c:ptCount val="1"/>
                <c:pt idx="0">
                  <c:v>Gilberto Hurtado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dinamicas'!$E$39:$E$43</c:f>
              <c:numCache>
                <c:formatCode>_-[$$-240A]\ * #,##0.00_-;\-[$$-240A]\ * #,##0.00_-;_-[$$-240A]\ * "-"??_-;_-@_-</c:formatCode>
                <c:ptCount val="4"/>
                <c:pt idx="0">
                  <c:v>515388105</c:v>
                </c:pt>
                <c:pt idx="1">
                  <c:v>615605620</c:v>
                </c:pt>
                <c:pt idx="2">
                  <c:v>661084781</c:v>
                </c:pt>
                <c:pt idx="3">
                  <c:v>741361721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84-474F-8062-FD895D19149A}"/>
            </c:ext>
          </c:extLst>
        </c:ser>
        <c:ser>
          <c:idx val="4"/>
          <c:order val="4"/>
          <c:tx>
            <c:strRef>
              <c:f>'Tablas dinamicas'!$F$37:$F$38</c:f>
              <c:strCache>
                <c:ptCount val="1"/>
                <c:pt idx="0">
                  <c:v>Nicolas Sanchez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dinamicas'!$F$39:$F$43</c:f>
              <c:numCache>
                <c:formatCode>_-[$$-240A]\ * #,##0.00_-;\-[$$-240A]\ * #,##0.00_-;_-[$$-240A]\ * "-"??_-;_-@_-</c:formatCode>
                <c:ptCount val="4"/>
                <c:pt idx="0">
                  <c:v>310516449</c:v>
                </c:pt>
                <c:pt idx="1">
                  <c:v>306253448</c:v>
                </c:pt>
                <c:pt idx="2">
                  <c:v>251802792</c:v>
                </c:pt>
                <c:pt idx="3">
                  <c:v>363142400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84-474F-8062-FD895D19149A}"/>
            </c:ext>
          </c:extLst>
        </c:ser>
        <c:ser>
          <c:idx val="5"/>
          <c:order val="5"/>
          <c:tx>
            <c:strRef>
              <c:f>'Tablas dinamicas'!$G$37:$G$38</c:f>
              <c:strCache>
                <c:ptCount val="1"/>
                <c:pt idx="0">
                  <c:v>Robert Castaño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dinamicas'!$G$39:$G$43</c:f>
              <c:numCache>
                <c:formatCode>_-[$$-240A]\ * #,##0.00_-;\-[$$-240A]\ * #,##0.00_-;_-[$$-240A]\ * "-"??_-;_-@_-</c:formatCode>
                <c:ptCount val="4"/>
                <c:pt idx="0">
                  <c:v>355573184</c:v>
                </c:pt>
                <c:pt idx="1">
                  <c:v>130873041</c:v>
                </c:pt>
                <c:pt idx="2">
                  <c:v>243574533</c:v>
                </c:pt>
                <c:pt idx="3">
                  <c:v>333649909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84-474F-8062-FD895D19149A}"/>
            </c:ext>
          </c:extLst>
        </c:ser>
        <c:ser>
          <c:idx val="6"/>
          <c:order val="6"/>
          <c:tx>
            <c:strRef>
              <c:f>'Tablas dinamicas'!$H$37:$H$38</c:f>
              <c:strCache>
                <c:ptCount val="1"/>
                <c:pt idx="0">
                  <c:v>Sandra Lopez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dinamicas'!$H$39:$H$43</c:f>
              <c:numCache>
                <c:formatCode>_-[$$-240A]\ * #,##0.00_-;\-[$$-240A]\ * #,##0.00_-;_-[$$-240A]\ * "-"??_-;_-@_-</c:formatCode>
                <c:ptCount val="4"/>
                <c:pt idx="0">
                  <c:v>34482169</c:v>
                </c:pt>
                <c:pt idx="1">
                  <c:v>379299883</c:v>
                </c:pt>
                <c:pt idx="2">
                  <c:v>130517177</c:v>
                </c:pt>
                <c:pt idx="3">
                  <c:v>251042362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84-474F-8062-FD895D19149A}"/>
            </c:ext>
          </c:extLst>
        </c:ser>
        <c:ser>
          <c:idx val="7"/>
          <c:order val="7"/>
          <c:tx>
            <c:strRef>
              <c:f>'Tablas dinamicas'!$I$37:$I$38</c:f>
              <c:strCache>
                <c:ptCount val="1"/>
                <c:pt idx="0">
                  <c:v>Santiago Perez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dinamicas'!$I$39:$I$43</c:f>
              <c:numCache>
                <c:formatCode>_-[$$-240A]\ * #,##0.00_-;\-[$$-240A]\ * #,##0.00_-;_-[$$-240A]\ * "-"??_-;_-@_-</c:formatCode>
                <c:ptCount val="4"/>
                <c:pt idx="0">
                  <c:v>92804171</c:v>
                </c:pt>
                <c:pt idx="1">
                  <c:v>64205697</c:v>
                </c:pt>
                <c:pt idx="2">
                  <c:v>151746288</c:v>
                </c:pt>
                <c:pt idx="3">
                  <c:v>142285948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84-474F-8062-FD895D19149A}"/>
            </c:ext>
          </c:extLst>
        </c:ser>
        <c:ser>
          <c:idx val="8"/>
          <c:order val="8"/>
          <c:tx>
            <c:strRef>
              <c:f>'Tablas dinamicas'!$J$37:$J$38</c:f>
              <c:strCache>
                <c:ptCount val="1"/>
                <c:pt idx="0">
                  <c:v>Vicky Ortiz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dinamicas'!$J$39:$J$43</c:f>
              <c:numCache>
                <c:formatCode>_-[$$-240A]\ * #,##0.00_-;\-[$$-240A]\ * #,##0.00_-;_-[$$-240A]\ * "-"??_-;_-@_-</c:formatCode>
                <c:ptCount val="4"/>
                <c:pt idx="0">
                  <c:v>233210160</c:v>
                </c:pt>
                <c:pt idx="1">
                  <c:v>141155767</c:v>
                </c:pt>
                <c:pt idx="2">
                  <c:v>205474251</c:v>
                </c:pt>
                <c:pt idx="3">
                  <c:v>282613100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84-474F-8062-FD895D19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36864"/>
        <c:axId val="576636384"/>
      </c:lineChart>
      <c:catAx>
        <c:axId val="5766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cantidad de ventas</a:t>
            </a:r>
          </a:p>
        </c:rich>
      </c:tx>
      <c:layout>
        <c:manualLayout>
          <c:xMode val="edge"/>
          <c:yMode val="edge"/>
          <c:x val="0.2682433599237084"/>
          <c:y val="5.257810515621031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dinamicas'!$B$49:$B$50</c:f>
              <c:strCache>
                <c:ptCount val="1"/>
                <c:pt idx="0">
                  <c:v>Alejandro Villamil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dinamicas'!$B$51:$B$55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478-40F3-87FF-03CB44716D16}"/>
            </c:ext>
          </c:extLst>
        </c:ser>
        <c:ser>
          <c:idx val="1"/>
          <c:order val="1"/>
          <c:tx>
            <c:strRef>
              <c:f>'Tablas dinamicas'!$C$49:$C$50</c:f>
              <c:strCache>
                <c:ptCount val="1"/>
                <c:pt idx="0">
                  <c:v>Beatriz Osorio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dinamicas'!$C$51:$C$55</c:f>
              <c:numCache>
                <c:formatCode>General</c:formatCode>
                <c:ptCount val="4"/>
                <c:pt idx="0">
                  <c:v>8</c:v>
                </c:pt>
                <c:pt idx="1">
                  <c:v>20</c:v>
                </c:pt>
                <c:pt idx="2">
                  <c:v>16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09-4531-88C2-9EA8F88BE8E9}"/>
            </c:ext>
          </c:extLst>
        </c:ser>
        <c:ser>
          <c:idx val="2"/>
          <c:order val="2"/>
          <c:tx>
            <c:strRef>
              <c:f>'Tablas dinamicas'!$D$49:$D$50</c:f>
              <c:strCache>
                <c:ptCount val="1"/>
                <c:pt idx="0">
                  <c:v>Carolina Romero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dinamicas'!$D$51:$D$55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09-4531-88C2-9EA8F88BE8E9}"/>
            </c:ext>
          </c:extLst>
        </c:ser>
        <c:ser>
          <c:idx val="3"/>
          <c:order val="3"/>
          <c:tx>
            <c:strRef>
              <c:f>'Tablas dinamicas'!$E$49:$E$50</c:f>
              <c:strCache>
                <c:ptCount val="1"/>
                <c:pt idx="0">
                  <c:v>Gilberto Hurtado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dinamicas'!$E$51:$E$55</c:f>
              <c:numCache>
                <c:formatCode>General</c:formatCode>
                <c:ptCount val="4"/>
                <c:pt idx="0">
                  <c:v>12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09-4531-88C2-9EA8F88BE8E9}"/>
            </c:ext>
          </c:extLst>
        </c:ser>
        <c:ser>
          <c:idx val="4"/>
          <c:order val="4"/>
          <c:tx>
            <c:strRef>
              <c:f>'Tablas dinamicas'!$F$49:$F$50</c:f>
              <c:strCache>
                <c:ptCount val="1"/>
                <c:pt idx="0">
                  <c:v>Nicolas Sanchez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dinamicas'!$F$51:$F$55</c:f>
              <c:numCache>
                <c:formatCode>General</c:formatCode>
                <c:ptCount val="4"/>
                <c:pt idx="0">
                  <c:v>8</c:v>
                </c:pt>
                <c:pt idx="1">
                  <c:v>10</c:v>
                </c:pt>
                <c:pt idx="2">
                  <c:v>8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09-4531-88C2-9EA8F88BE8E9}"/>
            </c:ext>
          </c:extLst>
        </c:ser>
        <c:ser>
          <c:idx val="5"/>
          <c:order val="5"/>
          <c:tx>
            <c:strRef>
              <c:f>'Tablas dinamicas'!$G$49:$G$50</c:f>
              <c:strCache>
                <c:ptCount val="1"/>
                <c:pt idx="0">
                  <c:v>Robert Castaño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dinamicas'!$G$51:$G$55</c:f>
              <c:numCache>
                <c:formatCode>General</c:formatCode>
                <c:ptCount val="4"/>
                <c:pt idx="0">
                  <c:v>8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09-4531-88C2-9EA8F88BE8E9}"/>
            </c:ext>
          </c:extLst>
        </c:ser>
        <c:ser>
          <c:idx val="6"/>
          <c:order val="6"/>
          <c:tx>
            <c:strRef>
              <c:f>'Tablas dinamicas'!$H$49:$H$50</c:f>
              <c:strCache>
                <c:ptCount val="1"/>
                <c:pt idx="0">
                  <c:v>Sandra Lopez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dinamicas'!$H$51:$H$55</c:f>
              <c:numCache>
                <c:formatCode>General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3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09-4531-88C2-9EA8F88BE8E9}"/>
            </c:ext>
          </c:extLst>
        </c:ser>
        <c:ser>
          <c:idx val="7"/>
          <c:order val="7"/>
          <c:tx>
            <c:strRef>
              <c:f>'Tablas dinamicas'!$I$49:$I$50</c:f>
              <c:strCache>
                <c:ptCount val="1"/>
                <c:pt idx="0">
                  <c:v>Santiago Perez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dinamicas'!$I$51:$I$55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09-4531-88C2-9EA8F88BE8E9}"/>
            </c:ext>
          </c:extLst>
        </c:ser>
        <c:ser>
          <c:idx val="8"/>
          <c:order val="8"/>
          <c:tx>
            <c:strRef>
              <c:f>'Tablas dinamicas'!$J$49:$J$50</c:f>
              <c:strCache>
                <c:ptCount val="1"/>
                <c:pt idx="0">
                  <c:v>Vicky Ortiz</c:v>
                </c:pt>
              </c:strCache>
            </c:strRef>
          </c:tx>
          <c:spPr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dinamicas'!$J$51:$J$55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09-4531-88C2-9EA8F88BE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636864"/>
        <c:axId val="576636384"/>
      </c:barChart>
      <c:catAx>
        <c:axId val="5766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Promedio</a:t>
            </a:r>
            <a:r>
              <a:rPr lang="en-US" sz="24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</a:t>
            </a:r>
            <a:endPara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endParaRPr>
          </a:p>
        </c:rich>
      </c:tx>
      <c:layout>
        <c:manualLayout>
          <c:xMode val="edge"/>
          <c:yMode val="edge"/>
          <c:x val="0.2682433599237084"/>
          <c:y val="5.257810515621031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'Tablas dinamicas'!$B$57:$B$58</c:f>
              <c:strCache>
                <c:ptCount val="1"/>
                <c:pt idx="0">
                  <c:v>Alejandro Villamil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dinamicas'!$B$59:$B$63</c:f>
              <c:numCache>
                <c:formatCode>_-[$$-240A]\ * #,##0.00_-;\-[$$-240A]\ * #,##0.00_-;_-[$$-240A]\ * "-"??_-;_-@_-</c:formatCode>
                <c:ptCount val="4"/>
                <c:pt idx="0">
                  <c:v>39889822.07692308</c:v>
                </c:pt>
                <c:pt idx="1">
                  <c:v>40407500.888888888</c:v>
                </c:pt>
                <c:pt idx="2">
                  <c:v>32623658.272727273</c:v>
                </c:pt>
                <c:pt idx="3">
                  <c:v>44878247.75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9C-48EA-B406-941375258F9F}"/>
            </c:ext>
          </c:extLst>
        </c:ser>
        <c:ser>
          <c:idx val="1"/>
          <c:order val="1"/>
          <c:tx>
            <c:strRef>
              <c:f>'Tablas dinamicas'!$C$57:$C$58</c:f>
              <c:strCache>
                <c:ptCount val="1"/>
                <c:pt idx="0">
                  <c:v>Beatriz Osorio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dinamicas'!$C$59:$C$63</c:f>
              <c:numCache>
                <c:formatCode>_-[$$-240A]\ * #,##0.00_-;\-[$$-240A]\ * #,##0.00_-;_-[$$-240A]\ * "-"??_-;_-@_-</c:formatCode>
                <c:ptCount val="4"/>
                <c:pt idx="0">
                  <c:v>32602789.5</c:v>
                </c:pt>
                <c:pt idx="1">
                  <c:v>35884250.200000003</c:v>
                </c:pt>
                <c:pt idx="2">
                  <c:v>50160042.75</c:v>
                </c:pt>
                <c:pt idx="3">
                  <c:v>43106682.615384616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55-44DF-9D37-1CB9D7949B38}"/>
            </c:ext>
          </c:extLst>
        </c:ser>
        <c:ser>
          <c:idx val="2"/>
          <c:order val="2"/>
          <c:tx>
            <c:strRef>
              <c:f>'Tablas dinamicas'!$D$57:$D$58</c:f>
              <c:strCache>
                <c:ptCount val="1"/>
                <c:pt idx="0">
                  <c:v>Carolina Romero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dinamicas'!$D$59:$D$63</c:f>
              <c:numCache>
                <c:formatCode>_-[$$-240A]\ * #,##0.00_-;\-[$$-240A]\ * #,##0.00_-;_-[$$-240A]\ * "-"??_-;_-@_-</c:formatCode>
                <c:ptCount val="4"/>
                <c:pt idx="0">
                  <c:v>40706722</c:v>
                </c:pt>
                <c:pt idx="1">
                  <c:v>31102380</c:v>
                </c:pt>
                <c:pt idx="2">
                  <c:v>34758135</c:v>
                </c:pt>
                <c:pt idx="3">
                  <c:v>33878107.666666664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55-44DF-9D37-1CB9D7949B38}"/>
            </c:ext>
          </c:extLst>
        </c:ser>
        <c:ser>
          <c:idx val="3"/>
          <c:order val="3"/>
          <c:tx>
            <c:strRef>
              <c:f>'Tablas dinamicas'!$E$57:$E$58</c:f>
              <c:strCache>
                <c:ptCount val="1"/>
                <c:pt idx="0">
                  <c:v>Gilberto Hurtado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dinamicas'!$E$59:$E$63</c:f>
              <c:numCache>
                <c:formatCode>_-[$$-240A]\ * #,##0.00_-;\-[$$-240A]\ * #,##0.00_-;_-[$$-240A]\ * "-"??_-;_-@_-</c:formatCode>
                <c:ptCount val="4"/>
                <c:pt idx="0">
                  <c:v>42949008.75</c:v>
                </c:pt>
                <c:pt idx="1">
                  <c:v>34200312.222222224</c:v>
                </c:pt>
                <c:pt idx="2">
                  <c:v>36726932.277777776</c:v>
                </c:pt>
                <c:pt idx="3">
                  <c:v>39019037.947368421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55-44DF-9D37-1CB9D7949B38}"/>
            </c:ext>
          </c:extLst>
        </c:ser>
        <c:ser>
          <c:idx val="4"/>
          <c:order val="4"/>
          <c:tx>
            <c:strRef>
              <c:f>'Tablas dinamicas'!$F$57:$F$58</c:f>
              <c:strCache>
                <c:ptCount val="1"/>
                <c:pt idx="0">
                  <c:v>Nicolas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dinamicas'!$F$59:$F$63</c:f>
              <c:numCache>
                <c:formatCode>_-[$$-240A]\ * #,##0.00_-;\-[$$-240A]\ * #,##0.00_-;_-[$$-240A]\ * "-"??_-;_-@_-</c:formatCode>
                <c:ptCount val="4"/>
                <c:pt idx="0">
                  <c:v>38814556.125</c:v>
                </c:pt>
                <c:pt idx="1">
                  <c:v>30625344.800000001</c:v>
                </c:pt>
                <c:pt idx="2">
                  <c:v>31475349</c:v>
                </c:pt>
                <c:pt idx="3">
                  <c:v>40349155.555555552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55-44DF-9D37-1CB9D7949B38}"/>
            </c:ext>
          </c:extLst>
        </c:ser>
        <c:ser>
          <c:idx val="5"/>
          <c:order val="5"/>
          <c:tx>
            <c:strRef>
              <c:f>'Tablas dinamicas'!$G$57:$G$58</c:f>
              <c:strCache>
                <c:ptCount val="1"/>
                <c:pt idx="0">
                  <c:v>Robert Castaño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dinamicas'!$G$59:$G$63</c:f>
              <c:numCache>
                <c:formatCode>_-[$$-240A]\ * #,##0.00_-;\-[$$-240A]\ * #,##0.00_-;_-[$$-240A]\ * "-"??_-;_-@_-</c:formatCode>
                <c:ptCount val="4"/>
                <c:pt idx="0">
                  <c:v>44446648</c:v>
                </c:pt>
                <c:pt idx="1">
                  <c:v>32718260.25</c:v>
                </c:pt>
                <c:pt idx="2">
                  <c:v>34796361.857142858</c:v>
                </c:pt>
                <c:pt idx="3">
                  <c:v>33364990.899999999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55-44DF-9D37-1CB9D7949B38}"/>
            </c:ext>
          </c:extLst>
        </c:ser>
        <c:ser>
          <c:idx val="6"/>
          <c:order val="6"/>
          <c:tx>
            <c:strRef>
              <c:f>'Tablas dinamicas'!$H$57:$H$58</c:f>
              <c:strCache>
                <c:ptCount val="1"/>
                <c:pt idx="0">
                  <c:v>Sandra Lopez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dinamicas'!$H$59:$H$63</c:f>
              <c:numCache>
                <c:formatCode>_-[$$-240A]\ * #,##0.00_-;\-[$$-240A]\ * #,##0.00_-;_-[$$-240A]\ * "-"??_-;_-@_-</c:formatCode>
                <c:ptCount val="4"/>
                <c:pt idx="0">
                  <c:v>34482169</c:v>
                </c:pt>
                <c:pt idx="1">
                  <c:v>37929988.299999997</c:v>
                </c:pt>
                <c:pt idx="2">
                  <c:v>43505725.666666664</c:v>
                </c:pt>
                <c:pt idx="3">
                  <c:v>35863194.571428575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55-44DF-9D37-1CB9D7949B38}"/>
            </c:ext>
          </c:extLst>
        </c:ser>
        <c:ser>
          <c:idx val="7"/>
          <c:order val="7"/>
          <c:tx>
            <c:strRef>
              <c:f>'Tablas dinamicas'!$I$57:$I$58</c:f>
              <c:strCache>
                <c:ptCount val="1"/>
                <c:pt idx="0">
                  <c:v>Santiago Perez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dinamicas'!$I$59:$I$63</c:f>
              <c:numCache>
                <c:formatCode>_-[$$-240A]\ * #,##0.00_-;\-[$$-240A]\ * #,##0.00_-;_-[$$-240A]\ * "-"??_-;_-@_-</c:formatCode>
                <c:ptCount val="4"/>
                <c:pt idx="0">
                  <c:v>46402085.5</c:v>
                </c:pt>
                <c:pt idx="1">
                  <c:v>64205697</c:v>
                </c:pt>
                <c:pt idx="2">
                  <c:v>37936572</c:v>
                </c:pt>
                <c:pt idx="3">
                  <c:v>47428649.333333336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155-44DF-9D37-1CB9D7949B38}"/>
            </c:ext>
          </c:extLst>
        </c:ser>
        <c:ser>
          <c:idx val="8"/>
          <c:order val="8"/>
          <c:tx>
            <c:strRef>
              <c:f>'Tablas dinamicas'!$J$57:$J$58</c:f>
              <c:strCache>
                <c:ptCount val="1"/>
                <c:pt idx="0">
                  <c:v>Vicky Ortiz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dinamicas'!$J$59:$J$63</c:f>
              <c:numCache>
                <c:formatCode>_-[$$-240A]\ * #,##0.00_-;\-[$$-240A]\ * #,##0.00_-;_-[$$-240A]\ * "-"??_-;_-@_-</c:formatCode>
                <c:ptCount val="4"/>
                <c:pt idx="0">
                  <c:v>46642032</c:v>
                </c:pt>
                <c:pt idx="1">
                  <c:v>28231153.399999999</c:v>
                </c:pt>
                <c:pt idx="2">
                  <c:v>34245708.5</c:v>
                </c:pt>
                <c:pt idx="3">
                  <c:v>35326637.5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155-44DF-9D37-1CB9D794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576636864"/>
        <c:axId val="576636384"/>
      </c:barChart>
      <c:catAx>
        <c:axId val="5766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8F5E5A-9D50-4E61-B9D8-7A3C74C7E705}">
  <sheetPr codeName="Gráfico4"/>
  <sheetViews>
    <sheetView zoomScale="11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190499</xdr:colOff>
      <xdr:row>2</xdr:row>
      <xdr:rowOff>19049</xdr:rowOff>
    </xdr:from>
    <xdr:to>
      <xdr:col>2</xdr:col>
      <xdr:colOff>1000125</xdr:colOff>
      <xdr:row>3</xdr:row>
      <xdr:rowOff>133349</xdr:rowOff>
    </xdr:to>
    <xdr:sp macro="[0]!Macro7" textlink="">
      <xdr:nvSpPr>
        <xdr:cNvPr id="3" name="Rectángulo 2">
          <a:extLst>
            <a:ext uri="{FF2B5EF4-FFF2-40B4-BE49-F238E27FC236}">
              <a16:creationId xmlns:a16="http://schemas.microsoft.com/office/drawing/2014/main" id="{A2D16491-3ECF-42CB-B70C-2B941B2B8EA2}"/>
            </a:ext>
          </a:extLst>
        </xdr:cNvPr>
        <xdr:cNvSpPr/>
      </xdr:nvSpPr>
      <xdr:spPr>
        <a:xfrm>
          <a:off x="7524749" y="1152524"/>
          <a:ext cx="809626" cy="2762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>
              <a:solidFill>
                <a:schemeClr val="bg1"/>
              </a:solidFill>
            </a:rPr>
            <a:t>Insertar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26869E-B7AD-310B-CB15-F0EEDBB727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504824</xdr:colOff>
      <xdr:row>0</xdr:row>
      <xdr:rowOff>233363</xdr:rowOff>
    </xdr:from>
    <xdr:to>
      <xdr:col>12</xdr:col>
      <xdr:colOff>47624</xdr:colOff>
      <xdr:row>3</xdr:row>
      <xdr:rowOff>140494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804B7AD-62BB-5F8E-C088-C99227F82290}"/>
            </a:ext>
          </a:extLst>
        </xdr:cNvPr>
        <xdr:cNvSpPr/>
      </xdr:nvSpPr>
      <xdr:spPr>
        <a:xfrm>
          <a:off x="6707980" y="233363"/>
          <a:ext cx="5269707" cy="51435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400" b="1" cap="none" spc="5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Dashboard:</a:t>
          </a:r>
          <a:r>
            <a:rPr lang="es-CO" sz="2400" b="1" cap="none" spc="50" baseline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 Informe de ventas</a:t>
          </a:r>
          <a:endParaRPr lang="es-CO" sz="1100" b="1" cap="none" spc="50">
            <a:ln w="0"/>
            <a:solidFill>
              <a:schemeClr val="accent1">
                <a:lumMod val="40000"/>
                <a:lumOff val="60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odoni MT Black" panose="02070A03080606020203" pitchFamily="18" charset="0"/>
          </a:endParaRPr>
        </a:p>
      </xdr:txBody>
    </xdr:sp>
    <xdr:clientData/>
  </xdr:twoCellAnchor>
  <xdr:twoCellAnchor editAs="oneCell">
    <xdr:from>
      <xdr:col>0</xdr:col>
      <xdr:colOff>0</xdr:colOff>
      <xdr:row>5</xdr:row>
      <xdr:rowOff>47624</xdr:rowOff>
    </xdr:from>
    <xdr:to>
      <xdr:col>1</xdr:col>
      <xdr:colOff>202406</xdr:colOff>
      <xdr:row>22</xdr:row>
      <xdr:rowOff>57151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sesor">
              <a:extLst>
                <a:ext uri="{FF2B5EF4-FFF2-40B4-BE49-F238E27FC236}">
                  <a16:creationId xmlns:a16="http://schemas.microsoft.com/office/drawing/2014/main" id="{4C55E24A-2FDB-4829-98A2-CFB034FA2C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e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9060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23</xdr:row>
      <xdr:rowOff>19050</xdr:rowOff>
    </xdr:from>
    <xdr:to>
      <xdr:col>1</xdr:col>
      <xdr:colOff>278606</xdr:colOff>
      <xdr:row>34</xdr:row>
      <xdr:rowOff>119063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30359727-6F93-434D-BFD2-34ED168A22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60019"/>
              <a:ext cx="1838325" cy="1933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11</xdr:col>
      <xdr:colOff>441034</xdr:colOff>
      <xdr:row>18</xdr:row>
      <xdr:rowOff>141467</xdr:rowOff>
    </xdr:from>
    <xdr:ext cx="184730" cy="88864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242CBD47-793B-494D-FAC8-4D61C23E44EA}"/>
            </a:ext>
          </a:extLst>
        </xdr:cNvPr>
        <xdr:cNvSpPr/>
      </xdr:nvSpPr>
      <xdr:spPr>
        <a:xfrm>
          <a:off x="8823034" y="3113267"/>
          <a:ext cx="184730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twoCellAnchor>
    <xdr:from>
      <xdr:col>15</xdr:col>
      <xdr:colOff>440530</xdr:colOff>
      <xdr:row>25</xdr:row>
      <xdr:rowOff>130968</xdr:rowOff>
    </xdr:from>
    <xdr:to>
      <xdr:col>21</xdr:col>
      <xdr:colOff>654843</xdr:colOff>
      <xdr:row>52</xdr:row>
      <xdr:rowOff>154781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020ABB0-BE20-4C44-8121-018E61011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25</xdr:row>
      <xdr:rowOff>133350</xdr:rowOff>
    </xdr:from>
    <xdr:to>
      <xdr:col>15</xdr:col>
      <xdr:colOff>345281</xdr:colOff>
      <xdr:row>54</xdr:row>
      <xdr:rowOff>130968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494D3A6-3808-40B1-8BFC-66012F8E9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466724</xdr:colOff>
      <xdr:row>4</xdr:row>
      <xdr:rowOff>169070</xdr:rowOff>
    </xdr:from>
    <xdr:to>
      <xdr:col>12</xdr:col>
      <xdr:colOff>35719</xdr:colOff>
      <xdr:row>24</xdr:row>
      <xdr:rowOff>7145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249B44E-5817-4F7A-8BCF-5AD73AD4C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607218</xdr:colOff>
      <xdr:row>0</xdr:row>
      <xdr:rowOff>0</xdr:rowOff>
    </xdr:from>
    <xdr:to>
      <xdr:col>20</xdr:col>
      <xdr:colOff>666750</xdr:colOff>
      <xdr:row>24</xdr:row>
      <xdr:rowOff>35721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18C4559-45DF-437D-8926-8196AA61E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35</xdr:row>
      <xdr:rowOff>9525</xdr:rowOff>
    </xdr:from>
    <xdr:to>
      <xdr:col>1</xdr:col>
      <xdr:colOff>269081</xdr:colOff>
      <xdr:row>43</xdr:row>
      <xdr:rowOff>11906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rimestres ">
              <a:extLst>
                <a:ext uri="{FF2B5EF4-FFF2-40B4-BE49-F238E27FC236}">
                  <a16:creationId xmlns:a16="http://schemas.microsoft.com/office/drawing/2014/main" id="{B1A403C8-AEBE-D1EC-6EFB-2140F8235D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950744"/>
              <a:ext cx="1828800" cy="13358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38100</xdr:rowOff>
        </xdr:from>
        <xdr:to>
          <xdr:col>3</xdr:col>
          <xdr:colOff>28575</xdr:colOff>
          <xdr:row>5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Formulario aseseor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481.551276620368" createdVersion="8" refreshedVersion="8" minRefreshableVersion="3" recordCount="300" xr:uid="{78029D85-BFE0-462A-A941-61D13D7C63B9}">
  <cacheSource type="worksheet">
    <worksheetSource ref="A7:E306" sheet="Ventas"/>
  </cacheSource>
  <cacheFields count="7">
    <cacheField name="ID" numFmtId="0">
      <sharedItems containsSemiMixedTypes="0" containsString="0" containsNumber="1" containsInteger="1" minValue="1060" maxValue="1985"/>
    </cacheField>
    <cacheField name="Marca" numFmtId="0">
      <sharedItems count="6">
        <s v="BMW"/>
        <s v="Hyundai"/>
        <s v="Mazda"/>
        <s v="Volvo"/>
        <s v="Chevrolet"/>
        <s v="Ford"/>
      </sharedItems>
    </cacheField>
    <cacheField name="Fecha" numFmtId="0">
      <sharedItems containsSemiMixedTypes="0" containsNonDate="0" containsDate="1" containsString="0" minDate="2023-01-02T00:00:00" maxDate="2023-12-31T00:00:00" count="208">
        <d v="2023-07-26T00:00:00"/>
        <d v="2023-11-12T00:00:00"/>
        <d v="2023-02-14T00:00:00"/>
        <d v="2023-09-06T00:00:00"/>
        <d v="2023-08-18T00:00:00"/>
        <d v="2023-04-05T00:00:00"/>
        <d v="2023-12-18T00:00:00"/>
        <d v="2023-10-14T00:00:00"/>
        <d v="2023-08-07T00:00:00"/>
        <d v="2023-06-14T00:00:00"/>
        <d v="2023-08-03T00:00:00"/>
        <d v="2023-04-20T00:00:00"/>
        <d v="2023-06-16T00:00:00"/>
        <d v="2023-02-02T00:00:00"/>
        <d v="2023-06-27T00:00:00"/>
        <d v="2023-11-21T00:00:00"/>
        <d v="2023-10-15T00:00:00"/>
        <d v="2023-11-07T00:00:00"/>
        <d v="2023-07-06T00:00:00"/>
        <d v="2023-07-31T00:00:00"/>
        <d v="2023-01-12T00:00:00"/>
        <d v="2023-01-18T00:00:00"/>
        <d v="2023-05-26T00:00:00"/>
        <d v="2023-04-22T00:00:00"/>
        <d v="2023-04-09T00:00:00"/>
        <d v="2023-09-23T00:00:00"/>
        <d v="2023-09-24T00:00:00"/>
        <d v="2023-03-05T00:00:00"/>
        <d v="2023-10-16T00:00:00"/>
        <d v="2023-09-07T00:00:00"/>
        <d v="2023-04-26T00:00:00"/>
        <d v="2023-04-19T00:00:00"/>
        <d v="2023-10-06T00:00:00"/>
        <d v="2023-10-28T00:00:00"/>
        <d v="2023-07-15T00:00:00"/>
        <d v="2023-04-04T00:00:00"/>
        <d v="2023-07-14T00:00:00"/>
        <d v="2023-12-15T00:00:00"/>
        <d v="2023-07-16T00:00:00"/>
        <d v="2023-06-30T00:00:00"/>
        <d v="2023-12-28T00:00:00"/>
        <d v="2023-03-08T00:00:00"/>
        <d v="2023-12-05T00:00:00"/>
        <d v="2023-10-21T00:00:00"/>
        <d v="2023-08-24T00:00:00"/>
        <d v="2023-04-25T00:00:00"/>
        <d v="2023-07-21T00:00:00"/>
        <d v="2023-01-13T00:00:00"/>
        <d v="2023-11-03T00:00:00"/>
        <d v="2023-12-04T00:00:00"/>
        <d v="2023-12-21T00:00:00"/>
        <d v="2023-05-29T00:00:00"/>
        <d v="2023-07-23T00:00:00"/>
        <d v="2023-04-18T00:00:00"/>
        <d v="2023-06-08T00:00:00"/>
        <d v="2023-03-29T00:00:00"/>
        <d v="2023-12-07T00:00:00"/>
        <d v="2023-07-18T00:00:00"/>
        <d v="2023-02-28T00:00:00"/>
        <d v="2023-02-10T00:00:00"/>
        <d v="2023-12-27T00:00:00"/>
        <d v="2023-12-29T00:00:00"/>
        <d v="2023-05-15T00:00:00"/>
        <d v="2023-05-28T00:00:00"/>
        <d v="2023-07-17T00:00:00"/>
        <d v="2023-05-12T00:00:00"/>
        <d v="2023-12-30T00:00:00"/>
        <d v="2023-01-09T00:00:00"/>
        <d v="2023-06-09T00:00:00"/>
        <d v="2023-11-26T00:00:00"/>
        <d v="2023-08-17T00:00:00"/>
        <d v="2023-01-25T00:00:00"/>
        <d v="2023-12-02T00:00:00"/>
        <d v="2023-03-16T00:00:00"/>
        <d v="2023-12-16T00:00:00"/>
        <d v="2023-09-28T00:00:00"/>
        <d v="2023-10-18T00:00:00"/>
        <d v="2023-12-10T00:00:00"/>
        <d v="2023-07-12T00:00:00"/>
        <d v="2023-06-26T00:00:00"/>
        <d v="2023-05-11T00:00:00"/>
        <d v="2023-08-20T00:00:00"/>
        <d v="2023-05-19T00:00:00"/>
        <d v="2023-05-16T00:00:00"/>
        <d v="2023-04-06T00:00:00"/>
        <d v="2023-01-24T00:00:00"/>
        <d v="2023-09-30T00:00:00"/>
        <d v="2023-03-23T00:00:00"/>
        <d v="2023-04-13T00:00:00"/>
        <d v="2023-07-20T00:00:00"/>
        <d v="2023-07-10T00:00:00"/>
        <d v="2023-10-10T00:00:00"/>
        <d v="2023-12-26T00:00:00"/>
        <d v="2023-06-06T00:00:00"/>
        <d v="2023-08-15T00:00:00"/>
        <d v="2023-09-02T00:00:00"/>
        <d v="2023-01-23T00:00:00"/>
        <d v="2023-12-20T00:00:00"/>
        <d v="2023-10-17T00:00:00"/>
        <d v="2023-04-02T00:00:00"/>
        <d v="2023-03-27T00:00:00"/>
        <d v="2023-05-22T00:00:00"/>
        <d v="2023-03-06T00:00:00"/>
        <d v="2023-11-25T00:00:00"/>
        <d v="2023-01-21T00:00:00"/>
        <d v="2023-11-24T00:00:00"/>
        <d v="2023-11-15T00:00:00"/>
        <d v="2023-02-23T00:00:00"/>
        <d v="2023-12-24T00:00:00"/>
        <d v="2023-09-14T00:00:00"/>
        <d v="2023-03-26T00:00:00"/>
        <d v="2023-03-12T00:00:00"/>
        <d v="2023-09-17T00:00:00"/>
        <d v="2023-08-23T00:00:00"/>
        <d v="2023-11-13T00:00:00"/>
        <d v="2023-07-28T00:00:00"/>
        <d v="2023-09-26T00:00:00"/>
        <d v="2023-02-08T00:00:00"/>
        <d v="2023-02-26T00:00:00"/>
        <d v="2023-09-19T00:00:00"/>
        <d v="2023-09-10T00:00:00"/>
        <d v="2023-12-11T00:00:00"/>
        <d v="2023-09-25T00:00:00"/>
        <d v="2023-04-14T00:00:00"/>
        <d v="2023-04-23T00:00:00"/>
        <d v="2023-11-02T00:00:00"/>
        <d v="2023-09-21T00:00:00"/>
        <d v="2023-05-14T00:00:00"/>
        <d v="2023-03-19T00:00:00"/>
        <d v="2023-08-13T00:00:00"/>
        <d v="2023-01-28T00:00:00"/>
        <d v="2023-05-25T00:00:00"/>
        <d v="2023-06-02T00:00:00"/>
        <d v="2023-12-03T00:00:00"/>
        <d v="2023-11-28T00:00:00"/>
        <d v="2023-05-05T00:00:00"/>
        <d v="2023-08-29T00:00:00"/>
        <d v="2023-05-21T00:00:00"/>
        <d v="2023-04-12T00:00:00"/>
        <d v="2023-07-09T00:00:00"/>
        <d v="2023-01-30T00:00:00"/>
        <d v="2023-11-27T00:00:00"/>
        <d v="2023-03-28T00:00:00"/>
        <d v="2023-11-08T00:00:00"/>
        <d v="2023-06-01T00:00:00"/>
        <d v="2023-09-01T00:00:00"/>
        <d v="2023-09-27T00:00:00"/>
        <d v="2023-11-11T00:00:00"/>
        <d v="2023-09-04T00:00:00"/>
        <d v="2023-03-03T00:00:00"/>
        <d v="2023-12-12T00:00:00"/>
        <d v="2023-04-07T00:00:00"/>
        <d v="2023-01-11T00:00:00"/>
        <d v="2023-11-18T00:00:00"/>
        <d v="2023-06-28T00:00:00"/>
        <d v="2023-06-05T00:00:00"/>
        <d v="2023-05-24T00:00:00"/>
        <d v="2023-01-04T00:00:00"/>
        <d v="2023-08-08T00:00:00"/>
        <d v="2023-01-16T00:00:00"/>
        <d v="2023-06-24T00:00:00"/>
        <d v="2023-01-05T00:00:00"/>
        <d v="2023-04-21T00:00:00"/>
        <d v="2023-06-11T00:00:00"/>
        <d v="2023-05-23T00:00:00"/>
        <d v="2023-09-22T00:00:00"/>
        <d v="2023-02-09T00:00:00"/>
        <d v="2023-11-09T00:00:00"/>
        <d v="2023-03-01T00:00:00"/>
        <d v="2023-10-13T00:00:00"/>
        <d v="2023-01-02T00:00:00"/>
        <d v="2023-01-27T00:00:00"/>
        <d v="2023-09-12T00:00:00"/>
        <d v="2023-03-24T00:00:00"/>
        <d v="2023-12-09T00:00:00"/>
        <d v="2023-05-06T00:00:00"/>
        <d v="2023-04-10T00:00:00"/>
        <d v="2023-10-12T00:00:00"/>
        <d v="2023-11-05T00:00:00"/>
        <d v="2023-02-12T00:00:00"/>
        <d v="2023-09-03T00:00:00"/>
        <d v="2023-04-03T00:00:00"/>
        <d v="2023-10-20T00:00:00"/>
        <d v="2023-05-27T00:00:00"/>
        <d v="2023-03-31T00:00:00"/>
        <d v="2023-06-03T00:00:00"/>
        <d v="2023-08-28T00:00:00"/>
        <d v="2023-12-13T00:00:00"/>
        <d v="2023-03-18T00:00:00"/>
        <d v="2023-06-29T00:00:00"/>
        <d v="2023-08-05T00:00:00"/>
        <d v="2023-11-01T00:00:00"/>
        <d v="2023-09-18T00:00:00"/>
        <d v="2023-10-24T00:00:00"/>
        <d v="2023-10-01T00:00:00"/>
        <d v="2023-03-22T00:00:00"/>
        <d v="2023-01-31T00:00:00"/>
        <d v="2023-07-24T00:00:00"/>
        <d v="2023-01-07T00:00:00"/>
        <d v="2023-03-21T00:00:00"/>
        <d v="2023-08-10T00:00:00"/>
        <d v="2023-10-09T00:00:00"/>
        <d v="2023-08-09T00:00:00"/>
        <d v="2023-05-01T00:00:00"/>
        <d v="2023-10-04T00:00:00"/>
        <d v="2023-08-19T00:00:00"/>
        <d v="2023-11-04T00:00:00"/>
        <d v="2023-09-20T00:00:00"/>
      </sharedItems>
      <fieldGroup par="6"/>
    </cacheField>
    <cacheField name="Venta" numFmtId="44">
      <sharedItems containsSemiMixedTypes="0" containsString="0" containsNumber="1" containsInteger="1" minValue="10468482" maxValue="69803402" count="300">
        <n v="29355693"/>
        <n v="59891555"/>
        <n v="23379238"/>
        <n v="50255398"/>
        <n v="27012164"/>
        <n v="11754232"/>
        <n v="11020414"/>
        <n v="46145679"/>
        <n v="60154234"/>
        <n v="60994647"/>
        <n v="43093699"/>
        <n v="15169533"/>
        <n v="17788893"/>
        <n v="52631979"/>
        <n v="46332646"/>
        <n v="20963354"/>
        <n v="42213515"/>
        <n v="53964354"/>
        <n v="47535940"/>
        <n v="53836437"/>
        <n v="38737953"/>
        <n v="69742908"/>
        <n v="55994290"/>
        <n v="47734426"/>
        <n v="29584555"/>
        <n v="23091025"/>
        <n v="18276494"/>
        <n v="30835954"/>
        <n v="33303249"/>
        <n v="54007629"/>
        <n v="21597414"/>
        <n v="17518302"/>
        <n v="33705973"/>
        <n v="65970852"/>
        <n v="19590803"/>
        <n v="22211590"/>
        <n v="54771364"/>
        <n v="16228984"/>
        <n v="31761667"/>
        <n v="16308406"/>
        <n v="63655987"/>
        <n v="16567801"/>
        <n v="58497062"/>
        <n v="50713175"/>
        <n v="32199633"/>
        <n v="60266340"/>
        <n v="51427239"/>
        <n v="54029275"/>
        <n v="19456840"/>
        <n v="54149460"/>
        <n v="57152764"/>
        <n v="26885632"/>
        <n v="62968583"/>
        <n v="38053409"/>
        <n v="25684109"/>
        <n v="51897542"/>
        <n v="28663792"/>
        <n v="66032116"/>
        <n v="56647723"/>
        <n v="13905400"/>
        <n v="32247053"/>
        <n v="22319949"/>
        <n v="32698705"/>
        <n v="56185587"/>
        <n v="19616105"/>
        <n v="60460612"/>
        <n v="13367738"/>
        <n v="23601060"/>
        <n v="30852015"/>
        <n v="18252231"/>
        <n v="13671574"/>
        <n v="34144219"/>
        <n v="14452481"/>
        <n v="21556901"/>
        <n v="19745520"/>
        <n v="27961550"/>
        <n v="30122898"/>
        <n v="14806928"/>
        <n v="13546938"/>
        <n v="17563733"/>
        <n v="27691588"/>
        <n v="26142162"/>
        <n v="59874276"/>
        <n v="30023143"/>
        <n v="41564853"/>
        <n v="18820847"/>
        <n v="42984305"/>
        <n v="40534649"/>
        <n v="50071103"/>
        <n v="18386665"/>
        <n v="14665051"/>
        <n v="45380485"/>
        <n v="53734454"/>
        <n v="34376909"/>
        <n v="51303613"/>
        <n v="47132763"/>
        <n v="48795982"/>
        <n v="39069717"/>
        <n v="37325016"/>
        <n v="27141548"/>
        <n v="13860009"/>
        <n v="57785914"/>
        <n v="64683234"/>
        <n v="59925268"/>
        <n v="22718952"/>
        <n v="67522987"/>
        <n v="22741137"/>
        <n v="36786628"/>
        <n v="18389736"/>
        <n v="27055471"/>
        <n v="62709722"/>
        <n v="66615220"/>
        <n v="15123765"/>
        <n v="66197513"/>
        <n v="20542380"/>
        <n v="23229039"/>
        <n v="41593766"/>
        <n v="41253219"/>
        <n v="10468482"/>
        <n v="15001345"/>
        <n v="59958377"/>
        <n v="21461840"/>
        <n v="22608808"/>
        <n v="25933795"/>
        <n v="61197370"/>
        <n v="37964968"/>
        <n v="56493753"/>
        <n v="45597149"/>
        <n v="34482169"/>
        <n v="52673576"/>
        <n v="23189437"/>
        <n v="63571544"/>
        <n v="53269309"/>
        <n v="40964540"/>
        <n v="34629792"/>
        <n v="14211471"/>
        <n v="30381442"/>
        <n v="43612090"/>
        <n v="54044956"/>
        <n v="56579267"/>
        <n v="35589949"/>
        <n v="31753451"/>
        <n v="50395543"/>
        <n v="69803402"/>
        <n v="23505430"/>
        <n v="49310879"/>
        <n v="23283097"/>
        <n v="47733252"/>
        <n v="19170864"/>
        <n v="61927134"/>
        <n v="18157405"/>
        <n v="60801746"/>
        <n v="25796663"/>
        <n v="50936026"/>
        <n v="62300346"/>
        <n v="46542665"/>
        <n v="17676440"/>
        <n v="31060528"/>
        <n v="31568284"/>
        <n v="24777496"/>
        <n v="14129205"/>
        <n v="24885091"/>
        <n v="41242288"/>
        <n v="32996976"/>
        <n v="62740849"/>
        <n v="54307447"/>
        <n v="30772656"/>
        <n v="58249449"/>
        <n v="67765570"/>
        <n v="42873953"/>
        <n v="36999632"/>
        <n v="45988649"/>
        <n v="12748585"/>
        <n v="54835625"/>
        <n v="14823328"/>
        <n v="38344984"/>
        <n v="50914680"/>
        <n v="29049122"/>
        <n v="49975452"/>
        <n v="14621052"/>
        <n v="51682427"/>
        <n v="21590470"/>
        <n v="47673129"/>
        <n v="28051040"/>
        <n v="14140688"/>
        <n v="22415287"/>
        <n v="33682331"/>
        <n v="37844031"/>
        <n v="51833878"/>
        <n v="20856584"/>
        <n v="21488176"/>
        <n v="58411125"/>
        <n v="60434534"/>
        <n v="39952661"/>
        <n v="40732909"/>
        <n v="53666979"/>
        <n v="34114954"/>
        <n v="22338790"/>
        <n v="30292280"/>
        <n v="20186752"/>
        <n v="55686677"/>
        <n v="23059343"/>
        <n v="69634434"/>
        <n v="69480045"/>
        <n v="14304135"/>
        <n v="24404012"/>
        <n v="10965972"/>
        <n v="27331094"/>
        <n v="21135398"/>
        <n v="47000091"/>
        <n v="59896875"/>
        <n v="59911466"/>
        <n v="61621621"/>
        <n v="35955759"/>
        <n v="28324160"/>
        <n v="62681627"/>
        <n v="61094884"/>
        <n v="26828257"/>
        <n v="61168284"/>
        <n v="34515342"/>
        <n v="20214775"/>
        <n v="12160826"/>
        <n v="38547309"/>
        <n v="20519837"/>
        <n v="27278258"/>
        <n v="61132288"/>
        <n v="60213373"/>
        <n v="41156923"/>
        <n v="12817627"/>
        <n v="34117131"/>
        <n v="64400975"/>
        <n v="38910029"/>
        <n v="45429523"/>
        <n v="67955317"/>
        <n v="53346324"/>
        <n v="19382100"/>
        <n v="18108928"/>
        <n v="17257031"/>
        <n v="69743261"/>
        <n v="23937559"/>
        <n v="48416564"/>
        <n v="40975994"/>
        <n v="43248049"/>
        <n v="62897571"/>
        <n v="16599403"/>
        <n v="25443496"/>
        <n v="20685130"/>
        <n v="37166635"/>
        <n v="41999987"/>
        <n v="30652155"/>
        <n v="13413138"/>
        <n v="55263218"/>
        <n v="27852832"/>
        <n v="54408381"/>
        <n v="42673635"/>
        <n v="41140463"/>
        <n v="39310184"/>
        <n v="48712062"/>
        <n v="53036970"/>
        <n v="55713088"/>
        <n v="36753850"/>
        <n v="12391313"/>
        <n v="47488932"/>
        <n v="15769295"/>
        <n v="21099796"/>
        <n v="27735564"/>
        <n v="49825796"/>
        <n v="68114314"/>
        <n v="26202801"/>
        <n v="64309653"/>
        <n v="58335226"/>
        <n v="33531745"/>
        <n v="12820582"/>
        <n v="55203019"/>
        <n v="42970580"/>
        <n v="31754229"/>
        <n v="21694582"/>
        <n v="62594894"/>
        <n v="41567081"/>
        <n v="47707395"/>
        <n v="11569473"/>
        <n v="55970180"/>
        <n v="64205697"/>
        <n v="42610507"/>
        <n v="21562201"/>
        <n v="46165454"/>
        <n v="35896516"/>
        <n v="28977309"/>
        <n v="55294361"/>
        <n v="48204574"/>
        <n v="60932935"/>
        <n v="25631102"/>
        <n v="66432574"/>
        <n v="17167425"/>
        <n v="31003746"/>
        <n v="38568064"/>
        <n v="30040570"/>
        <n v="51047790"/>
        <n v="37887002"/>
        <n v="31575830"/>
      </sharedItems>
    </cacheField>
    <cacheField name="Asesor" numFmtId="0">
      <sharedItems count="9">
        <s v="Gilberto Hurtado"/>
        <s v="Santiago Perez"/>
        <s v="Beatriz Osorio"/>
        <s v="Nicolas Sanchez"/>
        <s v="Carolina Romero"/>
        <s v="Alejandro Villamil"/>
        <s v="Robert Castaño"/>
        <s v="Vicky Ortiz"/>
        <s v="Sandra Lopez"/>
      </sharedItems>
    </cacheField>
    <cacheField name="Días (Fecha)" numFmtId="0" databaseField="0">
      <fieldGroup base="2">
        <rangePr groupBy="days" startDate="2023-01-02T00:00:00" endDate="2023-12-31T00:00:00"/>
        <groupItems count="368">
          <s v="&lt;2/0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/12/2023"/>
        </groupItems>
      </fieldGroup>
    </cacheField>
    <cacheField name="Trimestres (Fecha)" numFmtId="0" databaseField="0">
      <fieldGroup base="2">
        <rangePr groupBy="quarters" startDate="2023-01-02T00:00:00" endDate="2023-12-31T00:00:00"/>
        <groupItems count="6">
          <s v="&lt;2/01/2023"/>
          <s v="Trim.1"/>
          <s v="Trim.2"/>
          <s v="Trim.3"/>
          <s v="Trim.4"/>
          <s v="&gt;31/12/2023"/>
        </groupItems>
      </fieldGroup>
    </cacheField>
  </cacheFields>
  <extLst>
    <ext xmlns:x14="http://schemas.microsoft.com/office/spreadsheetml/2009/9/main" uri="{725AE2AE-9491-48be-B2B4-4EB974FC3084}">
      <x14:pivotCacheDefinition pivotCacheId="90815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957"/>
    <x v="0"/>
    <x v="0"/>
    <x v="0"/>
    <x v="0"/>
  </r>
  <r>
    <n v="1710"/>
    <x v="1"/>
    <x v="1"/>
    <x v="1"/>
    <x v="1"/>
  </r>
  <r>
    <n v="1957"/>
    <x v="2"/>
    <x v="2"/>
    <x v="2"/>
    <x v="0"/>
  </r>
  <r>
    <n v="1373"/>
    <x v="0"/>
    <x v="3"/>
    <x v="3"/>
    <x v="2"/>
  </r>
  <r>
    <n v="1728"/>
    <x v="3"/>
    <x v="4"/>
    <x v="4"/>
    <x v="3"/>
  </r>
  <r>
    <n v="1985"/>
    <x v="3"/>
    <x v="5"/>
    <x v="5"/>
    <x v="4"/>
  </r>
  <r>
    <n v="1624"/>
    <x v="3"/>
    <x v="6"/>
    <x v="6"/>
    <x v="5"/>
  </r>
  <r>
    <n v="1373"/>
    <x v="3"/>
    <x v="7"/>
    <x v="7"/>
    <x v="2"/>
  </r>
  <r>
    <n v="1373"/>
    <x v="4"/>
    <x v="8"/>
    <x v="8"/>
    <x v="2"/>
  </r>
  <r>
    <n v="1624"/>
    <x v="0"/>
    <x v="9"/>
    <x v="9"/>
    <x v="5"/>
  </r>
  <r>
    <n v="1957"/>
    <x v="2"/>
    <x v="10"/>
    <x v="10"/>
    <x v="0"/>
  </r>
  <r>
    <n v="1373"/>
    <x v="1"/>
    <x v="11"/>
    <x v="11"/>
    <x v="2"/>
  </r>
  <r>
    <n v="1957"/>
    <x v="2"/>
    <x v="12"/>
    <x v="12"/>
    <x v="0"/>
  </r>
  <r>
    <n v="1957"/>
    <x v="3"/>
    <x v="13"/>
    <x v="13"/>
    <x v="0"/>
  </r>
  <r>
    <n v="1373"/>
    <x v="0"/>
    <x v="14"/>
    <x v="14"/>
    <x v="2"/>
  </r>
  <r>
    <n v="1728"/>
    <x v="0"/>
    <x v="15"/>
    <x v="15"/>
    <x v="3"/>
  </r>
  <r>
    <n v="1728"/>
    <x v="4"/>
    <x v="16"/>
    <x v="16"/>
    <x v="3"/>
  </r>
  <r>
    <n v="1957"/>
    <x v="4"/>
    <x v="17"/>
    <x v="17"/>
    <x v="0"/>
  </r>
  <r>
    <n v="1957"/>
    <x v="3"/>
    <x v="18"/>
    <x v="18"/>
    <x v="0"/>
  </r>
  <r>
    <n v="1624"/>
    <x v="2"/>
    <x v="19"/>
    <x v="19"/>
    <x v="5"/>
  </r>
  <r>
    <n v="1834"/>
    <x v="4"/>
    <x v="10"/>
    <x v="20"/>
    <x v="6"/>
  </r>
  <r>
    <n v="1957"/>
    <x v="2"/>
    <x v="20"/>
    <x v="21"/>
    <x v="0"/>
  </r>
  <r>
    <n v="1708"/>
    <x v="4"/>
    <x v="21"/>
    <x v="22"/>
    <x v="7"/>
  </r>
  <r>
    <n v="1624"/>
    <x v="3"/>
    <x v="22"/>
    <x v="23"/>
    <x v="5"/>
  </r>
  <r>
    <n v="1060"/>
    <x v="4"/>
    <x v="23"/>
    <x v="24"/>
    <x v="8"/>
  </r>
  <r>
    <n v="1373"/>
    <x v="3"/>
    <x v="24"/>
    <x v="25"/>
    <x v="2"/>
  </r>
  <r>
    <n v="1834"/>
    <x v="0"/>
    <x v="25"/>
    <x v="26"/>
    <x v="6"/>
  </r>
  <r>
    <n v="1985"/>
    <x v="5"/>
    <x v="26"/>
    <x v="27"/>
    <x v="4"/>
  </r>
  <r>
    <n v="1728"/>
    <x v="4"/>
    <x v="27"/>
    <x v="28"/>
    <x v="3"/>
  </r>
  <r>
    <n v="1373"/>
    <x v="2"/>
    <x v="28"/>
    <x v="29"/>
    <x v="2"/>
  </r>
  <r>
    <n v="1624"/>
    <x v="4"/>
    <x v="29"/>
    <x v="30"/>
    <x v="5"/>
  </r>
  <r>
    <n v="1373"/>
    <x v="2"/>
    <x v="30"/>
    <x v="31"/>
    <x v="2"/>
  </r>
  <r>
    <n v="1624"/>
    <x v="4"/>
    <x v="31"/>
    <x v="32"/>
    <x v="5"/>
  </r>
  <r>
    <n v="1834"/>
    <x v="5"/>
    <x v="32"/>
    <x v="33"/>
    <x v="6"/>
  </r>
  <r>
    <n v="1957"/>
    <x v="1"/>
    <x v="33"/>
    <x v="34"/>
    <x v="0"/>
  </r>
  <r>
    <n v="1624"/>
    <x v="3"/>
    <x v="34"/>
    <x v="35"/>
    <x v="5"/>
  </r>
  <r>
    <n v="1373"/>
    <x v="4"/>
    <x v="35"/>
    <x v="36"/>
    <x v="2"/>
  </r>
  <r>
    <n v="1985"/>
    <x v="1"/>
    <x v="18"/>
    <x v="37"/>
    <x v="4"/>
  </r>
  <r>
    <n v="1708"/>
    <x v="2"/>
    <x v="36"/>
    <x v="38"/>
    <x v="7"/>
  </r>
  <r>
    <n v="1985"/>
    <x v="4"/>
    <x v="37"/>
    <x v="39"/>
    <x v="4"/>
  </r>
  <r>
    <n v="1957"/>
    <x v="2"/>
    <x v="38"/>
    <x v="40"/>
    <x v="0"/>
  </r>
  <r>
    <n v="1060"/>
    <x v="2"/>
    <x v="39"/>
    <x v="41"/>
    <x v="8"/>
  </r>
  <r>
    <n v="1624"/>
    <x v="2"/>
    <x v="40"/>
    <x v="42"/>
    <x v="5"/>
  </r>
  <r>
    <n v="1624"/>
    <x v="2"/>
    <x v="41"/>
    <x v="43"/>
    <x v="5"/>
  </r>
  <r>
    <n v="1957"/>
    <x v="0"/>
    <x v="42"/>
    <x v="44"/>
    <x v="0"/>
  </r>
  <r>
    <n v="1624"/>
    <x v="3"/>
    <x v="43"/>
    <x v="45"/>
    <x v="5"/>
  </r>
  <r>
    <n v="1957"/>
    <x v="1"/>
    <x v="44"/>
    <x v="46"/>
    <x v="0"/>
  </r>
  <r>
    <n v="1060"/>
    <x v="1"/>
    <x v="45"/>
    <x v="47"/>
    <x v="8"/>
  </r>
  <r>
    <n v="1728"/>
    <x v="4"/>
    <x v="46"/>
    <x v="48"/>
    <x v="3"/>
  </r>
  <r>
    <n v="1624"/>
    <x v="1"/>
    <x v="47"/>
    <x v="49"/>
    <x v="5"/>
  </r>
  <r>
    <n v="1728"/>
    <x v="1"/>
    <x v="48"/>
    <x v="50"/>
    <x v="3"/>
  </r>
  <r>
    <n v="1728"/>
    <x v="1"/>
    <x v="49"/>
    <x v="51"/>
    <x v="3"/>
  </r>
  <r>
    <n v="1957"/>
    <x v="3"/>
    <x v="50"/>
    <x v="52"/>
    <x v="0"/>
  </r>
  <r>
    <n v="1708"/>
    <x v="0"/>
    <x v="51"/>
    <x v="53"/>
    <x v="7"/>
  </r>
  <r>
    <n v="1373"/>
    <x v="4"/>
    <x v="52"/>
    <x v="54"/>
    <x v="2"/>
  </r>
  <r>
    <n v="1373"/>
    <x v="3"/>
    <x v="53"/>
    <x v="55"/>
    <x v="2"/>
  </r>
  <r>
    <n v="1060"/>
    <x v="2"/>
    <x v="54"/>
    <x v="56"/>
    <x v="8"/>
  </r>
  <r>
    <n v="1728"/>
    <x v="2"/>
    <x v="55"/>
    <x v="57"/>
    <x v="3"/>
  </r>
  <r>
    <n v="1957"/>
    <x v="4"/>
    <x v="56"/>
    <x v="58"/>
    <x v="0"/>
  </r>
  <r>
    <n v="1708"/>
    <x v="4"/>
    <x v="57"/>
    <x v="59"/>
    <x v="7"/>
  </r>
  <r>
    <n v="1957"/>
    <x v="3"/>
    <x v="58"/>
    <x v="60"/>
    <x v="0"/>
  </r>
  <r>
    <n v="1624"/>
    <x v="1"/>
    <x v="59"/>
    <x v="61"/>
    <x v="5"/>
  </r>
  <r>
    <n v="1957"/>
    <x v="2"/>
    <x v="60"/>
    <x v="62"/>
    <x v="0"/>
  </r>
  <r>
    <n v="1834"/>
    <x v="3"/>
    <x v="61"/>
    <x v="63"/>
    <x v="6"/>
  </r>
  <r>
    <n v="1728"/>
    <x v="5"/>
    <x v="11"/>
    <x v="64"/>
    <x v="3"/>
  </r>
  <r>
    <n v="1710"/>
    <x v="3"/>
    <x v="52"/>
    <x v="65"/>
    <x v="1"/>
  </r>
  <r>
    <n v="1708"/>
    <x v="3"/>
    <x v="62"/>
    <x v="66"/>
    <x v="7"/>
  </r>
  <r>
    <n v="1373"/>
    <x v="0"/>
    <x v="63"/>
    <x v="67"/>
    <x v="2"/>
  </r>
  <r>
    <n v="1957"/>
    <x v="1"/>
    <x v="64"/>
    <x v="68"/>
    <x v="0"/>
  </r>
  <r>
    <n v="1373"/>
    <x v="4"/>
    <x v="65"/>
    <x v="69"/>
    <x v="2"/>
  </r>
  <r>
    <n v="1060"/>
    <x v="4"/>
    <x v="66"/>
    <x v="70"/>
    <x v="8"/>
  </r>
  <r>
    <n v="1834"/>
    <x v="1"/>
    <x v="67"/>
    <x v="71"/>
    <x v="6"/>
  </r>
  <r>
    <n v="1728"/>
    <x v="4"/>
    <x v="68"/>
    <x v="72"/>
    <x v="3"/>
  </r>
  <r>
    <n v="1957"/>
    <x v="2"/>
    <x v="69"/>
    <x v="73"/>
    <x v="0"/>
  </r>
  <r>
    <n v="1957"/>
    <x v="3"/>
    <x v="70"/>
    <x v="74"/>
    <x v="0"/>
  </r>
  <r>
    <n v="1624"/>
    <x v="1"/>
    <x v="71"/>
    <x v="75"/>
    <x v="5"/>
  </r>
  <r>
    <n v="1985"/>
    <x v="1"/>
    <x v="72"/>
    <x v="76"/>
    <x v="4"/>
  </r>
  <r>
    <n v="1834"/>
    <x v="2"/>
    <x v="73"/>
    <x v="77"/>
    <x v="6"/>
  </r>
  <r>
    <n v="1708"/>
    <x v="0"/>
    <x v="74"/>
    <x v="78"/>
    <x v="7"/>
  </r>
  <r>
    <n v="1957"/>
    <x v="1"/>
    <x v="75"/>
    <x v="79"/>
    <x v="0"/>
  </r>
  <r>
    <n v="1957"/>
    <x v="4"/>
    <x v="76"/>
    <x v="80"/>
    <x v="0"/>
  </r>
  <r>
    <n v="1834"/>
    <x v="1"/>
    <x v="77"/>
    <x v="81"/>
    <x v="6"/>
  </r>
  <r>
    <n v="1728"/>
    <x v="4"/>
    <x v="78"/>
    <x v="82"/>
    <x v="3"/>
  </r>
  <r>
    <n v="1060"/>
    <x v="0"/>
    <x v="79"/>
    <x v="83"/>
    <x v="8"/>
  </r>
  <r>
    <n v="1373"/>
    <x v="0"/>
    <x v="80"/>
    <x v="84"/>
    <x v="2"/>
  </r>
  <r>
    <n v="1957"/>
    <x v="4"/>
    <x v="81"/>
    <x v="85"/>
    <x v="0"/>
  </r>
  <r>
    <n v="1708"/>
    <x v="3"/>
    <x v="32"/>
    <x v="86"/>
    <x v="7"/>
  </r>
  <r>
    <n v="1957"/>
    <x v="4"/>
    <x v="82"/>
    <x v="87"/>
    <x v="0"/>
  </r>
  <r>
    <n v="1624"/>
    <x v="2"/>
    <x v="83"/>
    <x v="88"/>
    <x v="5"/>
  </r>
  <r>
    <n v="1957"/>
    <x v="4"/>
    <x v="84"/>
    <x v="89"/>
    <x v="0"/>
  </r>
  <r>
    <n v="1373"/>
    <x v="4"/>
    <x v="85"/>
    <x v="90"/>
    <x v="2"/>
  </r>
  <r>
    <n v="1373"/>
    <x v="1"/>
    <x v="86"/>
    <x v="91"/>
    <x v="2"/>
  </r>
  <r>
    <n v="1710"/>
    <x v="1"/>
    <x v="87"/>
    <x v="92"/>
    <x v="1"/>
  </r>
  <r>
    <n v="1957"/>
    <x v="0"/>
    <x v="88"/>
    <x v="93"/>
    <x v="0"/>
  </r>
  <r>
    <n v="1373"/>
    <x v="5"/>
    <x v="89"/>
    <x v="94"/>
    <x v="2"/>
  </r>
  <r>
    <n v="1624"/>
    <x v="4"/>
    <x v="90"/>
    <x v="95"/>
    <x v="5"/>
  </r>
  <r>
    <n v="1708"/>
    <x v="1"/>
    <x v="91"/>
    <x v="96"/>
    <x v="7"/>
  </r>
  <r>
    <n v="1710"/>
    <x v="1"/>
    <x v="47"/>
    <x v="97"/>
    <x v="1"/>
  </r>
  <r>
    <n v="1373"/>
    <x v="4"/>
    <x v="92"/>
    <x v="98"/>
    <x v="2"/>
  </r>
  <r>
    <n v="1728"/>
    <x v="4"/>
    <x v="93"/>
    <x v="99"/>
    <x v="3"/>
  </r>
  <r>
    <n v="1373"/>
    <x v="4"/>
    <x v="94"/>
    <x v="100"/>
    <x v="2"/>
  </r>
  <r>
    <n v="1373"/>
    <x v="1"/>
    <x v="95"/>
    <x v="101"/>
    <x v="2"/>
  </r>
  <r>
    <n v="1957"/>
    <x v="4"/>
    <x v="43"/>
    <x v="102"/>
    <x v="0"/>
  </r>
  <r>
    <n v="1985"/>
    <x v="0"/>
    <x v="96"/>
    <x v="103"/>
    <x v="4"/>
  </r>
  <r>
    <n v="1957"/>
    <x v="5"/>
    <x v="97"/>
    <x v="104"/>
    <x v="0"/>
  </r>
  <r>
    <n v="1060"/>
    <x v="0"/>
    <x v="46"/>
    <x v="105"/>
    <x v="8"/>
  </r>
  <r>
    <n v="1060"/>
    <x v="3"/>
    <x v="98"/>
    <x v="106"/>
    <x v="8"/>
  </r>
  <r>
    <n v="1957"/>
    <x v="2"/>
    <x v="55"/>
    <x v="107"/>
    <x v="0"/>
  </r>
  <r>
    <n v="1957"/>
    <x v="0"/>
    <x v="99"/>
    <x v="108"/>
    <x v="0"/>
  </r>
  <r>
    <n v="1834"/>
    <x v="2"/>
    <x v="33"/>
    <x v="109"/>
    <x v="6"/>
  </r>
  <r>
    <n v="1728"/>
    <x v="4"/>
    <x v="100"/>
    <x v="110"/>
    <x v="3"/>
  </r>
  <r>
    <n v="1373"/>
    <x v="0"/>
    <x v="101"/>
    <x v="111"/>
    <x v="2"/>
  </r>
  <r>
    <n v="1624"/>
    <x v="5"/>
    <x v="102"/>
    <x v="112"/>
    <x v="5"/>
  </r>
  <r>
    <n v="1957"/>
    <x v="1"/>
    <x v="103"/>
    <x v="113"/>
    <x v="0"/>
  </r>
  <r>
    <n v="1957"/>
    <x v="0"/>
    <x v="65"/>
    <x v="114"/>
    <x v="0"/>
  </r>
  <r>
    <n v="1957"/>
    <x v="3"/>
    <x v="104"/>
    <x v="115"/>
    <x v="0"/>
  </r>
  <r>
    <n v="1708"/>
    <x v="3"/>
    <x v="18"/>
    <x v="116"/>
    <x v="7"/>
  </r>
  <r>
    <n v="1957"/>
    <x v="2"/>
    <x v="87"/>
    <x v="117"/>
    <x v="0"/>
  </r>
  <r>
    <n v="1834"/>
    <x v="2"/>
    <x v="105"/>
    <x v="118"/>
    <x v="6"/>
  </r>
  <r>
    <n v="1957"/>
    <x v="0"/>
    <x v="106"/>
    <x v="119"/>
    <x v="0"/>
  </r>
  <r>
    <n v="1834"/>
    <x v="2"/>
    <x v="107"/>
    <x v="120"/>
    <x v="6"/>
  </r>
  <r>
    <n v="1957"/>
    <x v="4"/>
    <x v="108"/>
    <x v="121"/>
    <x v="0"/>
  </r>
  <r>
    <n v="1373"/>
    <x v="2"/>
    <x v="109"/>
    <x v="122"/>
    <x v="2"/>
  </r>
  <r>
    <n v="1060"/>
    <x v="0"/>
    <x v="30"/>
    <x v="123"/>
    <x v="8"/>
  </r>
  <r>
    <n v="1373"/>
    <x v="4"/>
    <x v="84"/>
    <x v="124"/>
    <x v="2"/>
  </r>
  <r>
    <n v="1834"/>
    <x v="1"/>
    <x v="110"/>
    <x v="125"/>
    <x v="6"/>
  </r>
  <r>
    <n v="1957"/>
    <x v="4"/>
    <x v="33"/>
    <x v="126"/>
    <x v="0"/>
  </r>
  <r>
    <n v="1985"/>
    <x v="2"/>
    <x v="12"/>
    <x v="127"/>
    <x v="4"/>
  </r>
  <r>
    <n v="1060"/>
    <x v="1"/>
    <x v="111"/>
    <x v="128"/>
    <x v="8"/>
  </r>
  <r>
    <n v="1373"/>
    <x v="1"/>
    <x v="60"/>
    <x v="129"/>
    <x v="2"/>
  </r>
  <r>
    <n v="1728"/>
    <x v="3"/>
    <x v="112"/>
    <x v="130"/>
    <x v="3"/>
  </r>
  <r>
    <n v="1624"/>
    <x v="2"/>
    <x v="113"/>
    <x v="131"/>
    <x v="5"/>
  </r>
  <r>
    <n v="1728"/>
    <x v="2"/>
    <x v="42"/>
    <x v="132"/>
    <x v="3"/>
  </r>
  <r>
    <n v="1708"/>
    <x v="4"/>
    <x v="34"/>
    <x v="133"/>
    <x v="7"/>
  </r>
  <r>
    <n v="1373"/>
    <x v="4"/>
    <x v="114"/>
    <x v="134"/>
    <x v="2"/>
  </r>
  <r>
    <n v="1957"/>
    <x v="3"/>
    <x v="4"/>
    <x v="135"/>
    <x v="0"/>
  </r>
  <r>
    <n v="1834"/>
    <x v="4"/>
    <x v="115"/>
    <x v="136"/>
    <x v="6"/>
  </r>
  <r>
    <n v="1060"/>
    <x v="0"/>
    <x v="116"/>
    <x v="137"/>
    <x v="8"/>
  </r>
  <r>
    <n v="1834"/>
    <x v="3"/>
    <x v="117"/>
    <x v="138"/>
    <x v="6"/>
  </r>
  <r>
    <n v="1373"/>
    <x v="4"/>
    <x v="118"/>
    <x v="139"/>
    <x v="2"/>
  </r>
  <r>
    <n v="1957"/>
    <x v="2"/>
    <x v="119"/>
    <x v="140"/>
    <x v="0"/>
  </r>
  <r>
    <n v="1624"/>
    <x v="0"/>
    <x v="108"/>
    <x v="141"/>
    <x v="5"/>
  </r>
  <r>
    <n v="1060"/>
    <x v="0"/>
    <x v="9"/>
    <x v="142"/>
    <x v="8"/>
  </r>
  <r>
    <n v="1373"/>
    <x v="1"/>
    <x v="47"/>
    <x v="143"/>
    <x v="2"/>
  </r>
  <r>
    <n v="1708"/>
    <x v="0"/>
    <x v="63"/>
    <x v="144"/>
    <x v="7"/>
  </r>
  <r>
    <n v="1957"/>
    <x v="3"/>
    <x v="120"/>
    <x v="145"/>
    <x v="0"/>
  </r>
  <r>
    <n v="1708"/>
    <x v="1"/>
    <x v="121"/>
    <x v="146"/>
    <x v="7"/>
  </r>
  <r>
    <n v="1710"/>
    <x v="0"/>
    <x v="122"/>
    <x v="147"/>
    <x v="1"/>
  </r>
  <r>
    <n v="1373"/>
    <x v="3"/>
    <x v="123"/>
    <x v="148"/>
    <x v="2"/>
  </r>
  <r>
    <n v="1834"/>
    <x v="3"/>
    <x v="124"/>
    <x v="149"/>
    <x v="6"/>
  </r>
  <r>
    <n v="1834"/>
    <x v="2"/>
    <x v="125"/>
    <x v="150"/>
    <x v="6"/>
  </r>
  <r>
    <n v="1834"/>
    <x v="1"/>
    <x v="126"/>
    <x v="151"/>
    <x v="6"/>
  </r>
  <r>
    <n v="1624"/>
    <x v="3"/>
    <x v="127"/>
    <x v="152"/>
    <x v="5"/>
  </r>
  <r>
    <n v="1708"/>
    <x v="1"/>
    <x v="128"/>
    <x v="153"/>
    <x v="7"/>
  </r>
  <r>
    <n v="1373"/>
    <x v="1"/>
    <x v="4"/>
    <x v="154"/>
    <x v="2"/>
  </r>
  <r>
    <n v="1957"/>
    <x v="2"/>
    <x v="129"/>
    <x v="155"/>
    <x v="0"/>
  </r>
  <r>
    <n v="1728"/>
    <x v="3"/>
    <x v="130"/>
    <x v="156"/>
    <x v="3"/>
  </r>
  <r>
    <n v="1957"/>
    <x v="0"/>
    <x v="131"/>
    <x v="157"/>
    <x v="0"/>
  </r>
  <r>
    <n v="1373"/>
    <x v="4"/>
    <x v="132"/>
    <x v="158"/>
    <x v="2"/>
  </r>
  <r>
    <n v="1834"/>
    <x v="2"/>
    <x v="133"/>
    <x v="159"/>
    <x v="6"/>
  </r>
  <r>
    <n v="1373"/>
    <x v="1"/>
    <x v="132"/>
    <x v="160"/>
    <x v="2"/>
  </r>
  <r>
    <n v="1957"/>
    <x v="3"/>
    <x v="93"/>
    <x v="161"/>
    <x v="0"/>
  </r>
  <r>
    <n v="1624"/>
    <x v="2"/>
    <x v="15"/>
    <x v="162"/>
    <x v="5"/>
  </r>
  <r>
    <n v="1708"/>
    <x v="2"/>
    <x v="134"/>
    <x v="163"/>
    <x v="7"/>
  </r>
  <r>
    <n v="1060"/>
    <x v="3"/>
    <x v="101"/>
    <x v="164"/>
    <x v="8"/>
  </r>
  <r>
    <n v="1957"/>
    <x v="1"/>
    <x v="135"/>
    <x v="165"/>
    <x v="0"/>
  </r>
  <r>
    <n v="1957"/>
    <x v="1"/>
    <x v="84"/>
    <x v="166"/>
    <x v="0"/>
  </r>
  <r>
    <n v="1373"/>
    <x v="3"/>
    <x v="136"/>
    <x v="167"/>
    <x v="2"/>
  </r>
  <r>
    <n v="1373"/>
    <x v="1"/>
    <x v="137"/>
    <x v="168"/>
    <x v="2"/>
  </r>
  <r>
    <n v="1624"/>
    <x v="1"/>
    <x v="35"/>
    <x v="169"/>
    <x v="5"/>
  </r>
  <r>
    <n v="1373"/>
    <x v="0"/>
    <x v="138"/>
    <x v="170"/>
    <x v="2"/>
  </r>
  <r>
    <n v="1624"/>
    <x v="1"/>
    <x v="102"/>
    <x v="171"/>
    <x v="5"/>
  </r>
  <r>
    <n v="1373"/>
    <x v="5"/>
    <x v="134"/>
    <x v="172"/>
    <x v="2"/>
  </r>
  <r>
    <n v="1060"/>
    <x v="1"/>
    <x v="32"/>
    <x v="173"/>
    <x v="8"/>
  </r>
  <r>
    <n v="1624"/>
    <x v="4"/>
    <x v="71"/>
    <x v="174"/>
    <x v="5"/>
  </r>
  <r>
    <n v="1834"/>
    <x v="0"/>
    <x v="122"/>
    <x v="175"/>
    <x v="6"/>
  </r>
  <r>
    <n v="1373"/>
    <x v="3"/>
    <x v="139"/>
    <x v="176"/>
    <x v="2"/>
  </r>
  <r>
    <n v="1834"/>
    <x v="4"/>
    <x v="140"/>
    <x v="177"/>
    <x v="6"/>
  </r>
  <r>
    <n v="1373"/>
    <x v="2"/>
    <x v="141"/>
    <x v="178"/>
    <x v="2"/>
  </r>
  <r>
    <n v="1373"/>
    <x v="1"/>
    <x v="142"/>
    <x v="179"/>
    <x v="2"/>
  </r>
  <r>
    <n v="1624"/>
    <x v="2"/>
    <x v="143"/>
    <x v="180"/>
    <x v="5"/>
  </r>
  <r>
    <n v="1373"/>
    <x v="4"/>
    <x v="144"/>
    <x v="181"/>
    <x v="2"/>
  </r>
  <r>
    <n v="1624"/>
    <x v="0"/>
    <x v="45"/>
    <x v="182"/>
    <x v="5"/>
  </r>
  <r>
    <n v="1728"/>
    <x v="5"/>
    <x v="31"/>
    <x v="183"/>
    <x v="3"/>
  </r>
  <r>
    <n v="1957"/>
    <x v="2"/>
    <x v="145"/>
    <x v="184"/>
    <x v="0"/>
  </r>
  <r>
    <n v="1728"/>
    <x v="5"/>
    <x v="146"/>
    <x v="185"/>
    <x v="3"/>
  </r>
  <r>
    <n v="1710"/>
    <x v="3"/>
    <x v="147"/>
    <x v="186"/>
    <x v="1"/>
  </r>
  <r>
    <n v="1957"/>
    <x v="1"/>
    <x v="113"/>
    <x v="187"/>
    <x v="0"/>
  </r>
  <r>
    <n v="1957"/>
    <x v="3"/>
    <x v="105"/>
    <x v="188"/>
    <x v="0"/>
  </r>
  <r>
    <n v="1624"/>
    <x v="3"/>
    <x v="148"/>
    <x v="189"/>
    <x v="5"/>
  </r>
  <r>
    <n v="1985"/>
    <x v="1"/>
    <x v="149"/>
    <x v="190"/>
    <x v="4"/>
  </r>
  <r>
    <n v="1060"/>
    <x v="0"/>
    <x v="150"/>
    <x v="191"/>
    <x v="8"/>
  </r>
  <r>
    <n v="1728"/>
    <x v="1"/>
    <x v="151"/>
    <x v="192"/>
    <x v="3"/>
  </r>
  <r>
    <n v="1957"/>
    <x v="1"/>
    <x v="152"/>
    <x v="193"/>
    <x v="0"/>
  </r>
  <r>
    <n v="1624"/>
    <x v="2"/>
    <x v="106"/>
    <x v="194"/>
    <x v="5"/>
  </r>
  <r>
    <n v="1624"/>
    <x v="1"/>
    <x v="153"/>
    <x v="195"/>
    <x v="5"/>
  </r>
  <r>
    <n v="1728"/>
    <x v="2"/>
    <x v="139"/>
    <x v="196"/>
    <x v="3"/>
  </r>
  <r>
    <n v="1373"/>
    <x v="1"/>
    <x v="154"/>
    <x v="197"/>
    <x v="2"/>
  </r>
  <r>
    <n v="1957"/>
    <x v="1"/>
    <x v="95"/>
    <x v="198"/>
    <x v="0"/>
  </r>
  <r>
    <n v="1728"/>
    <x v="1"/>
    <x v="155"/>
    <x v="199"/>
    <x v="3"/>
  </r>
  <r>
    <n v="1708"/>
    <x v="2"/>
    <x v="148"/>
    <x v="200"/>
    <x v="7"/>
  </r>
  <r>
    <n v="1060"/>
    <x v="5"/>
    <x v="49"/>
    <x v="201"/>
    <x v="8"/>
  </r>
  <r>
    <n v="1834"/>
    <x v="2"/>
    <x v="85"/>
    <x v="202"/>
    <x v="6"/>
  </r>
  <r>
    <n v="1728"/>
    <x v="1"/>
    <x v="156"/>
    <x v="203"/>
    <x v="3"/>
  </r>
  <r>
    <n v="1957"/>
    <x v="3"/>
    <x v="156"/>
    <x v="204"/>
    <x v="0"/>
  </r>
  <r>
    <n v="1373"/>
    <x v="3"/>
    <x v="157"/>
    <x v="205"/>
    <x v="2"/>
  </r>
  <r>
    <n v="1708"/>
    <x v="1"/>
    <x v="101"/>
    <x v="206"/>
    <x v="7"/>
  </r>
  <r>
    <n v="1834"/>
    <x v="0"/>
    <x v="91"/>
    <x v="207"/>
    <x v="6"/>
  </r>
  <r>
    <n v="1834"/>
    <x v="3"/>
    <x v="158"/>
    <x v="208"/>
    <x v="6"/>
  </r>
  <r>
    <n v="1728"/>
    <x v="2"/>
    <x v="159"/>
    <x v="209"/>
    <x v="3"/>
  </r>
  <r>
    <n v="1957"/>
    <x v="0"/>
    <x v="160"/>
    <x v="210"/>
    <x v="0"/>
  </r>
  <r>
    <n v="1957"/>
    <x v="4"/>
    <x v="24"/>
    <x v="211"/>
    <x v="0"/>
  </r>
  <r>
    <n v="1957"/>
    <x v="0"/>
    <x v="161"/>
    <x v="212"/>
    <x v="0"/>
  </r>
  <r>
    <n v="1985"/>
    <x v="1"/>
    <x v="162"/>
    <x v="213"/>
    <x v="4"/>
  </r>
  <r>
    <n v="1060"/>
    <x v="4"/>
    <x v="163"/>
    <x v="214"/>
    <x v="8"/>
  </r>
  <r>
    <n v="1957"/>
    <x v="2"/>
    <x v="164"/>
    <x v="215"/>
    <x v="0"/>
  </r>
  <r>
    <n v="1373"/>
    <x v="2"/>
    <x v="165"/>
    <x v="216"/>
    <x v="2"/>
  </r>
  <r>
    <n v="1373"/>
    <x v="1"/>
    <x v="166"/>
    <x v="217"/>
    <x v="2"/>
  </r>
  <r>
    <n v="1624"/>
    <x v="0"/>
    <x v="167"/>
    <x v="218"/>
    <x v="5"/>
  </r>
  <r>
    <n v="1728"/>
    <x v="2"/>
    <x v="131"/>
    <x v="219"/>
    <x v="3"/>
  </r>
  <r>
    <n v="1728"/>
    <x v="4"/>
    <x v="12"/>
    <x v="220"/>
    <x v="3"/>
  </r>
  <r>
    <n v="1728"/>
    <x v="4"/>
    <x v="101"/>
    <x v="221"/>
    <x v="3"/>
  </r>
  <r>
    <n v="1708"/>
    <x v="1"/>
    <x v="168"/>
    <x v="222"/>
    <x v="7"/>
  </r>
  <r>
    <n v="1728"/>
    <x v="0"/>
    <x v="169"/>
    <x v="223"/>
    <x v="3"/>
  </r>
  <r>
    <n v="1957"/>
    <x v="3"/>
    <x v="170"/>
    <x v="224"/>
    <x v="0"/>
  </r>
  <r>
    <n v="1624"/>
    <x v="1"/>
    <x v="171"/>
    <x v="225"/>
    <x v="5"/>
  </r>
  <r>
    <n v="1985"/>
    <x v="2"/>
    <x v="10"/>
    <x v="226"/>
    <x v="4"/>
  </r>
  <r>
    <n v="1060"/>
    <x v="4"/>
    <x v="72"/>
    <x v="227"/>
    <x v="8"/>
  </r>
  <r>
    <n v="1624"/>
    <x v="2"/>
    <x v="135"/>
    <x v="228"/>
    <x v="5"/>
  </r>
  <r>
    <n v="1624"/>
    <x v="3"/>
    <x v="172"/>
    <x v="229"/>
    <x v="5"/>
  </r>
  <r>
    <n v="1624"/>
    <x v="3"/>
    <x v="173"/>
    <x v="230"/>
    <x v="5"/>
  </r>
  <r>
    <n v="1373"/>
    <x v="1"/>
    <x v="174"/>
    <x v="231"/>
    <x v="2"/>
  </r>
  <r>
    <n v="1957"/>
    <x v="3"/>
    <x v="175"/>
    <x v="232"/>
    <x v="0"/>
  </r>
  <r>
    <n v="1957"/>
    <x v="2"/>
    <x v="107"/>
    <x v="233"/>
    <x v="0"/>
  </r>
  <r>
    <n v="1957"/>
    <x v="0"/>
    <x v="176"/>
    <x v="234"/>
    <x v="0"/>
  </r>
  <r>
    <n v="1060"/>
    <x v="0"/>
    <x v="81"/>
    <x v="235"/>
    <x v="8"/>
  </r>
  <r>
    <n v="1710"/>
    <x v="0"/>
    <x v="136"/>
    <x v="236"/>
    <x v="1"/>
  </r>
  <r>
    <n v="1834"/>
    <x v="1"/>
    <x v="30"/>
    <x v="237"/>
    <x v="6"/>
  </r>
  <r>
    <n v="1957"/>
    <x v="3"/>
    <x v="77"/>
    <x v="238"/>
    <x v="0"/>
  </r>
  <r>
    <n v="1957"/>
    <x v="0"/>
    <x v="177"/>
    <x v="239"/>
    <x v="0"/>
  </r>
  <r>
    <n v="1728"/>
    <x v="1"/>
    <x v="103"/>
    <x v="240"/>
    <x v="3"/>
  </r>
  <r>
    <n v="1708"/>
    <x v="0"/>
    <x v="178"/>
    <x v="241"/>
    <x v="7"/>
  </r>
  <r>
    <n v="1728"/>
    <x v="0"/>
    <x v="179"/>
    <x v="242"/>
    <x v="3"/>
  </r>
  <r>
    <n v="1957"/>
    <x v="1"/>
    <x v="19"/>
    <x v="243"/>
    <x v="0"/>
  </r>
  <r>
    <n v="1957"/>
    <x v="3"/>
    <x v="63"/>
    <x v="244"/>
    <x v="0"/>
  </r>
  <r>
    <n v="1710"/>
    <x v="3"/>
    <x v="180"/>
    <x v="245"/>
    <x v="1"/>
  </r>
  <r>
    <n v="1834"/>
    <x v="2"/>
    <x v="181"/>
    <x v="246"/>
    <x v="6"/>
  </r>
  <r>
    <n v="1060"/>
    <x v="0"/>
    <x v="182"/>
    <x v="247"/>
    <x v="8"/>
  </r>
  <r>
    <n v="1624"/>
    <x v="1"/>
    <x v="183"/>
    <x v="248"/>
    <x v="5"/>
  </r>
  <r>
    <n v="1624"/>
    <x v="0"/>
    <x v="184"/>
    <x v="249"/>
    <x v="5"/>
  </r>
  <r>
    <n v="1624"/>
    <x v="4"/>
    <x v="102"/>
    <x v="250"/>
    <x v="5"/>
  </r>
  <r>
    <n v="1708"/>
    <x v="1"/>
    <x v="185"/>
    <x v="251"/>
    <x v="7"/>
  </r>
  <r>
    <n v="1728"/>
    <x v="1"/>
    <x v="186"/>
    <x v="252"/>
    <x v="3"/>
  </r>
  <r>
    <n v="1373"/>
    <x v="4"/>
    <x v="7"/>
    <x v="253"/>
    <x v="2"/>
  </r>
  <r>
    <n v="1728"/>
    <x v="4"/>
    <x v="187"/>
    <x v="254"/>
    <x v="3"/>
  </r>
  <r>
    <n v="1373"/>
    <x v="2"/>
    <x v="63"/>
    <x v="255"/>
    <x v="2"/>
  </r>
  <r>
    <n v="1957"/>
    <x v="1"/>
    <x v="188"/>
    <x v="256"/>
    <x v="0"/>
  </r>
  <r>
    <n v="1710"/>
    <x v="3"/>
    <x v="143"/>
    <x v="257"/>
    <x v="1"/>
  </r>
  <r>
    <n v="1060"/>
    <x v="5"/>
    <x v="189"/>
    <x v="258"/>
    <x v="8"/>
  </r>
  <r>
    <n v="1373"/>
    <x v="1"/>
    <x v="40"/>
    <x v="259"/>
    <x v="2"/>
  </r>
  <r>
    <n v="1373"/>
    <x v="0"/>
    <x v="128"/>
    <x v="260"/>
    <x v="2"/>
  </r>
  <r>
    <n v="1957"/>
    <x v="4"/>
    <x v="138"/>
    <x v="261"/>
    <x v="0"/>
  </r>
  <r>
    <n v="1373"/>
    <x v="3"/>
    <x v="190"/>
    <x v="262"/>
    <x v="2"/>
  </r>
  <r>
    <n v="1957"/>
    <x v="0"/>
    <x v="50"/>
    <x v="263"/>
    <x v="0"/>
  </r>
  <r>
    <n v="1624"/>
    <x v="4"/>
    <x v="148"/>
    <x v="264"/>
    <x v="5"/>
  </r>
  <r>
    <n v="1834"/>
    <x v="3"/>
    <x v="150"/>
    <x v="265"/>
    <x v="6"/>
  </r>
  <r>
    <n v="1834"/>
    <x v="0"/>
    <x v="191"/>
    <x v="266"/>
    <x v="6"/>
  </r>
  <r>
    <n v="1373"/>
    <x v="4"/>
    <x v="192"/>
    <x v="267"/>
    <x v="2"/>
  </r>
  <r>
    <n v="1957"/>
    <x v="3"/>
    <x v="193"/>
    <x v="268"/>
    <x v="0"/>
  </r>
  <r>
    <n v="1624"/>
    <x v="0"/>
    <x v="32"/>
    <x v="269"/>
    <x v="5"/>
  </r>
  <r>
    <n v="1708"/>
    <x v="1"/>
    <x v="121"/>
    <x v="270"/>
    <x v="7"/>
  </r>
  <r>
    <n v="1373"/>
    <x v="2"/>
    <x v="133"/>
    <x v="271"/>
    <x v="2"/>
  </r>
  <r>
    <n v="1624"/>
    <x v="3"/>
    <x v="36"/>
    <x v="272"/>
    <x v="5"/>
  </r>
  <r>
    <n v="1985"/>
    <x v="3"/>
    <x v="150"/>
    <x v="273"/>
    <x v="4"/>
  </r>
  <r>
    <n v="1373"/>
    <x v="3"/>
    <x v="79"/>
    <x v="274"/>
    <x v="2"/>
  </r>
  <r>
    <n v="1985"/>
    <x v="3"/>
    <x v="44"/>
    <x v="275"/>
    <x v="4"/>
  </r>
  <r>
    <n v="1708"/>
    <x v="1"/>
    <x v="114"/>
    <x v="276"/>
    <x v="7"/>
  </r>
  <r>
    <n v="1624"/>
    <x v="3"/>
    <x v="27"/>
    <x v="277"/>
    <x v="5"/>
  </r>
  <r>
    <n v="1708"/>
    <x v="4"/>
    <x v="117"/>
    <x v="278"/>
    <x v="7"/>
  </r>
  <r>
    <n v="1373"/>
    <x v="4"/>
    <x v="194"/>
    <x v="279"/>
    <x v="2"/>
  </r>
  <r>
    <n v="1728"/>
    <x v="1"/>
    <x v="195"/>
    <x v="280"/>
    <x v="3"/>
  </r>
  <r>
    <n v="1834"/>
    <x v="4"/>
    <x v="196"/>
    <x v="281"/>
    <x v="6"/>
  </r>
  <r>
    <n v="1710"/>
    <x v="2"/>
    <x v="65"/>
    <x v="282"/>
    <x v="1"/>
  </r>
  <r>
    <n v="1373"/>
    <x v="2"/>
    <x v="43"/>
    <x v="283"/>
    <x v="2"/>
  </r>
  <r>
    <n v="1708"/>
    <x v="3"/>
    <x v="197"/>
    <x v="284"/>
    <x v="7"/>
  </r>
  <r>
    <n v="1708"/>
    <x v="4"/>
    <x v="184"/>
    <x v="285"/>
    <x v="7"/>
  </r>
  <r>
    <n v="1834"/>
    <x v="1"/>
    <x v="129"/>
    <x v="286"/>
    <x v="6"/>
  </r>
  <r>
    <n v="1728"/>
    <x v="0"/>
    <x v="198"/>
    <x v="287"/>
    <x v="3"/>
  </r>
  <r>
    <n v="1624"/>
    <x v="0"/>
    <x v="199"/>
    <x v="288"/>
    <x v="5"/>
  </r>
  <r>
    <n v="1957"/>
    <x v="2"/>
    <x v="29"/>
    <x v="289"/>
    <x v="0"/>
  </r>
  <r>
    <n v="1373"/>
    <x v="0"/>
    <x v="200"/>
    <x v="290"/>
    <x v="2"/>
  </r>
  <r>
    <n v="1624"/>
    <x v="3"/>
    <x v="201"/>
    <x v="291"/>
    <x v="5"/>
  </r>
  <r>
    <n v="1373"/>
    <x v="0"/>
    <x v="202"/>
    <x v="292"/>
    <x v="2"/>
  </r>
  <r>
    <n v="1373"/>
    <x v="3"/>
    <x v="104"/>
    <x v="293"/>
    <x v="2"/>
  </r>
  <r>
    <n v="1834"/>
    <x v="4"/>
    <x v="203"/>
    <x v="294"/>
    <x v="6"/>
  </r>
  <r>
    <n v="1624"/>
    <x v="1"/>
    <x v="204"/>
    <x v="295"/>
    <x v="5"/>
  </r>
  <r>
    <n v="1624"/>
    <x v="0"/>
    <x v="205"/>
    <x v="296"/>
    <x v="5"/>
  </r>
  <r>
    <n v="1728"/>
    <x v="1"/>
    <x v="206"/>
    <x v="297"/>
    <x v="3"/>
  </r>
  <r>
    <n v="1728"/>
    <x v="1"/>
    <x v="207"/>
    <x v="298"/>
    <x v="3"/>
  </r>
  <r>
    <n v="1624"/>
    <x v="4"/>
    <x v="205"/>
    <x v="299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A54FC-5DD7-48AC-BD6F-C0613452BEC9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A57:K63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Promedio de Venta" fld="3" subtotal="average" baseField="6" baseItem="1" numFmtId="166"/>
  </dataFields>
  <formats count="1">
    <format dxfId="57">
      <pivotArea outline="0" collapsedLevelsAreSubtotals="1" fieldPosition="0"/>
    </format>
  </formats>
  <chartFormats count="10">
    <chartFormat chart="1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0" format="6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0" format="6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0" format="6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0" format="6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0" format="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AADB17-7AD4-43F6-91D4-7F4CBA72C63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A49:K55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antidad de ventas" fld="2" subtotal="count" baseField="4" baseItem="0"/>
  </dataFields>
  <chartFormats count="9"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B0A3E-A0AD-462A-889B-F8E178B514A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>
  <location ref="A17:DS25" firstHeaderRow="1" firstDataRow="4" firstDataCol="1"/>
  <pivotFields count="7">
    <pivotField showAll="0"/>
    <pivotField axis="axisCol" showAll="0">
      <items count="7">
        <item x="0"/>
        <item x="4"/>
        <item x="5"/>
        <item x="1"/>
        <item x="2"/>
        <item x="3"/>
        <item t="default"/>
      </items>
    </pivotField>
    <pivotField showAll="0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defaul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x="5"/>
        <item x="2"/>
        <item x="4"/>
        <item x="0"/>
        <item x="3"/>
        <item x="6"/>
        <item x="8"/>
        <item x="1"/>
        <item x="7"/>
        <item t="default"/>
      </items>
    </pivotField>
    <pivotField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3">
    <field x="4"/>
    <field x="-2"/>
    <field x="1"/>
  </colFields>
  <colItems count="122">
    <i>
      <x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/>
    </i>
    <i t="default" i="1">
      <x/>
    </i>
    <i>
      <x v="1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1"/>
    </i>
    <i t="default" i="1">
      <x v="1"/>
    </i>
    <i>
      <x v="2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2"/>
    </i>
    <i t="default" i="1">
      <x v="2"/>
    </i>
    <i>
      <x v="3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3"/>
    </i>
    <i t="default" i="1">
      <x v="3"/>
    </i>
    <i>
      <x v="4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4"/>
    </i>
    <i t="default" i="1">
      <x v="4"/>
    </i>
    <i>
      <x v="5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5"/>
    </i>
    <i t="default" i="1">
      <x v="5"/>
    </i>
    <i>
      <x v="6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6"/>
    </i>
    <i t="default" i="1">
      <x v="6"/>
    </i>
    <i>
      <x v="7"/>
      <x/>
      <x/>
    </i>
    <i r="2">
      <x v="3"/>
    </i>
    <i r="2">
      <x v="4"/>
    </i>
    <i r="2">
      <x v="5"/>
    </i>
    <i r="1" i="1">
      <x v="1"/>
      <x/>
    </i>
    <i r="2" i="1">
      <x v="3"/>
    </i>
    <i r="2" i="1">
      <x v="4"/>
    </i>
    <i r="2" i="1">
      <x v="5"/>
    </i>
    <i t="default">
      <x v="7"/>
    </i>
    <i t="default" i="1">
      <x v="7"/>
    </i>
    <i>
      <x v="8"/>
      <x/>
      <x/>
    </i>
    <i r="2">
      <x v="1"/>
    </i>
    <i r="2">
      <x v="3"/>
    </i>
    <i r="2">
      <x v="4"/>
    </i>
    <i r="2">
      <x v="5"/>
    </i>
    <i r="1" i="1">
      <x v="1"/>
      <x/>
    </i>
    <i r="2" i="1">
      <x v="1"/>
    </i>
    <i r="2" i="1">
      <x v="3"/>
    </i>
    <i r="2" i="1">
      <x v="4"/>
    </i>
    <i r="2" i="1">
      <x v="5"/>
    </i>
    <i t="default">
      <x v="8"/>
    </i>
    <i t="default" i="1">
      <x v="8"/>
    </i>
    <i t="grand">
      <x/>
    </i>
    <i t="grand" i="1">
      <x/>
    </i>
  </colItems>
  <dataFields count="2">
    <dataField name="Promedio de Venta" fld="3" subtotal="average" baseField="6" baseItem="1"/>
    <dataField name="Número de ventas" fld="5" subtotal="count" baseField="0" baseItem="0"/>
  </dataFields>
  <formats count="1">
    <format dxfId="56">
      <pivotArea outline="0" collapsedLevelsAreSubtotals="1" fieldPosition="0">
        <references count="1">
          <reference field="4" count="1" selected="0" defaultSubtotal="1">
            <x v="0"/>
          </reference>
        </references>
      </pivotArea>
    </format>
  </formats>
  <conditionalFormats count="2"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0"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4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4" format="4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4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4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4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5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5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5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6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6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7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7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8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8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8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8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8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8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8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8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9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9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9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9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9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9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9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9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9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9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10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10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10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10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10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0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0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0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1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1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2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3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3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3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1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7ABD7-717B-4B4B-8F6A-445B5485BC42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A37:K43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h="1" x="0"/>
        <item x="1"/>
        <item x="2"/>
        <item x="3"/>
        <item x="4"/>
        <item h="1"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a de Venta" fld="3" baseField="0" baseItem="0" numFmtId="166"/>
  </dataFields>
  <formats count="1">
    <format dxfId="41">
      <pivotArea outline="0" collapsedLevelsAreSubtotals="1" fieldPosition="0"/>
    </format>
  </formats>
  <chartFormats count="1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1907D5-8B6A-47E5-91CD-5FA2E97343DC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27:B34" firstHeaderRow="1" firstDataRow="1" firstDataCol="1"/>
  <pivotFields count="7">
    <pivotField showAll="0"/>
    <pivotField axis="axisRow"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3" baseField="0" baseItem="0" numFmtId="167"/>
  </dataFields>
  <chartFormats count="7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28A04-96C0-4E62-9F7F-4EC6DA91B0A4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F13" firstHeaderRow="0" firstDataRow="1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axis="axisRow"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Row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4"/>
    <field x="6"/>
    <field x="5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Venta" fld="3" baseField="2" baseItem="20" numFmtId="44"/>
    <dataField name="Cantidad de ventas" fld="2" subtotal="count" baseField="4" baseItem="0"/>
    <dataField name="Promedio de Venta" fld="3" subtotal="average" baseField="4" baseItem="0" numFmtId="44"/>
    <dataField name="Mín. de Venta" fld="3" subtotal="min" baseField="4" baseItem="0" numFmtId="44"/>
    <dataField name="Máx. de Ventas" fld="3" subtotal="max" baseField="4" baseItem="0" numFmtId="44"/>
  </dataFields>
  <formats count="2">
    <format dxfId="6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</formats>
  <conditionalFormats count="2"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sesor" xr10:uid="{1866DE41-2FCC-4DD9-BF57-67BB68604F07}" sourceName="Asesor">
  <pivotTables>
    <pivotTable tabId="9" name="TablaDinámica4"/>
    <pivotTable tabId="9" name="TablaDinámica5"/>
    <pivotTable tabId="9" name="TablaDinámica7"/>
    <pivotTable tabId="9" name="TablaDinámica1"/>
    <pivotTable tabId="9" name="TablaDinámica3"/>
  </pivotTables>
  <data>
    <tabular pivotCacheId="908150">
      <items count="9">
        <i x="5" s="1"/>
        <i x="2" s="1"/>
        <i x="4" s="1"/>
        <i x="0" s="1"/>
        <i x="3" s="1"/>
        <i x="6" s="1"/>
        <i x="8" s="1"/>
        <i x="1" s="1"/>
        <i x="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5BAD6CE2-5A71-4E92-80F1-F580605D21F8}" sourceName="Marca">
  <pivotTables>
    <pivotTable tabId="9" name="TablaDinámica4"/>
    <pivotTable tabId="9" name="TablaDinámica5"/>
    <pivotTable tabId="9" name="TablaDinámica7"/>
    <pivotTable tabId="9" name="TablaDinámica1"/>
    <pivotTable tabId="9" name="TablaDinámica3"/>
  </pivotTables>
  <data>
    <tabular pivotCacheId="908150">
      <items count="6">
        <i x="0" s="1"/>
        <i x="4" s="1"/>
        <i x="5" s="1"/>
        <i x="1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s__Fecha" xr10:uid="{5C09E67F-B083-4B7A-8333-7FB5F3AE5B2F}" sourceName="Trimestres (Fecha)">
  <pivotTables>
    <pivotTable tabId="9" name="TablaDinámica3"/>
    <pivotTable tabId="9" name="TablaDinámica1"/>
    <pivotTable tabId="9" name="TablaDinámica2"/>
  </pivotTables>
  <data>
    <tabular pivotCacheId="908150">
      <items count="6">
        <i x="1" s="1"/>
        <i x="2" s="1"/>
        <i x="3" s="1"/>
        <i x="4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sesor" xr10:uid="{3CDECBC6-4424-42DF-868D-DD0ADCFA4138}" cache="SegmentaciónDeDatos_Asesor" caption="Asesor" style="SlicerStyleLight5" rowHeight="225425"/>
  <slicer name="Marca" xr10:uid="{5C0C06B1-9566-4EB2-A110-96F910361BF9}" cache="SegmentaciónDeDatos_Marca" caption="Marca" style="SlicerStyleLight6" rowHeight="225425"/>
  <slicer name="Trimestres " xr10:uid="{0DC4C7EA-8738-43FB-99D7-00773DEE71F9}" cache="SegmentaciónDeDatos_Trimestres__Fecha" caption="Trimestres (2023)" rowHeight="1936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A70F45-5DC1-4833-9C1A-B6110BA5487E}" name="Tabla3" displayName="Tabla3" ref="A1:C12" totalsRowShown="0" headerRowDxfId="78" dataDxfId="77">
  <autoFilter ref="A1:C12" xr:uid="{34A70F45-5DC1-4833-9C1A-B6110BA5487E}"/>
  <tableColumns count="3">
    <tableColumn id="1" xr3:uid="{F8DEEC68-F2C8-44BD-8D89-44565F7D6810}" name="ID Asesor" dataDxfId="76"/>
    <tableColumn id="2" xr3:uid="{AACA2147-28A6-4E2F-91BD-870C3F10DDCC}" name="Nombre" dataDxfId="75"/>
    <tableColumn id="3" xr3:uid="{5D4D2F2B-9399-4FED-803A-A837E60E9B3B}" name="Ciudad" dataDxfId="74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F71CB-65AD-4E0A-92F5-16BE822B0A7E}" name="Tabla1" displayName="Tabla1" ref="A7:E306" totalsRowShown="0" headerRowDxfId="71">
  <autoFilter ref="A7:E306" xr:uid="{564F71CB-65AD-4E0A-92F5-16BE822B0A7E}"/>
  <tableColumns count="5">
    <tableColumn id="1" xr3:uid="{D30A6452-75DF-46D4-9E5D-B6FF6C8C1935}" name="ID" dataDxfId="70"/>
    <tableColumn id="2" xr3:uid="{BFB71AAF-0C41-49A2-9305-4045C25B7D5E}" name="Marca" dataDxfId="69"/>
    <tableColumn id="3" xr3:uid="{24D3EF2D-1FA0-4C5E-A33C-DAA7D1BDB943}" name="Fecha" dataDxfId="68"/>
    <tableColumn id="4" xr3:uid="{FF73EA2F-472A-44C5-ADA7-9CFFB806A3B1}" name="Venta" dataDxfId="67" dataCellStyle="Moneda"/>
    <tableColumn id="5" xr3:uid="{3B001660-CA96-4FA8-9596-D80E2E80172A}" name="Asesor">
      <calculatedColumnFormula>VLOOKUP(Ventas!A8,Asesores!$A$2:$C$12,2,FALSE)</calculatedColumnFormula>
    </tableColumn>
  </tableColumns>
  <tableStyleInfo name="TableStyleMedium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909F12-3F0B-4004-84A0-205E891368D3}" name="Tabla2" displayName="Tabla2" ref="A2:B6" totalsRowShown="0">
  <autoFilter ref="A2:B6" xr:uid="{F3909F12-3F0B-4004-84A0-205E891368D3}"/>
  <tableColumns count="2">
    <tableColumn id="1" xr3:uid="{4C7F8C15-62AF-4EF5-AB3D-BE04F36905A6}" name="Tipo" dataDxfId="66"/>
    <tableColumn id="2" xr3:uid="{79EBEE61-9C0B-48C5-8E52-2452EA354C02}" name="Dato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Estela de condensación">
  <a:themeElements>
    <a:clrScheme name="Estela de condensación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Estela de condensación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tela de condensación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C12"/>
  <sheetViews>
    <sheetView workbookViewId="0">
      <selection activeCell="C37" sqref="C37"/>
    </sheetView>
  </sheetViews>
  <sheetFormatPr baseColWidth="10" defaultColWidth="12.5703125" defaultRowHeight="15.75" customHeight="1" x14ac:dyDescent="0.25"/>
  <cols>
    <col min="1" max="1" width="12.85546875" customWidth="1"/>
    <col min="2" max="2" width="19.7109375" customWidth="1"/>
  </cols>
  <sheetData>
    <row r="1" spans="1:3" ht="15.75" customHeight="1" x14ac:dyDescent="0.25">
      <c r="A1" s="1" t="s">
        <v>0</v>
      </c>
      <c r="B1" s="1" t="s">
        <v>1</v>
      </c>
      <c r="C1" s="1" t="s">
        <v>2</v>
      </c>
    </row>
    <row r="2" spans="1:3" ht="15" x14ac:dyDescent="0.25">
      <c r="A2" s="1">
        <v>1710</v>
      </c>
      <c r="B2" s="1" t="s">
        <v>3</v>
      </c>
      <c r="C2" s="1" t="s">
        <v>4</v>
      </c>
    </row>
    <row r="3" spans="1:3" ht="15" x14ac:dyDescent="0.25">
      <c r="A3" s="1">
        <v>1834</v>
      </c>
      <c r="B3" s="1" t="s">
        <v>5</v>
      </c>
      <c r="C3" s="1" t="s">
        <v>6</v>
      </c>
    </row>
    <row r="4" spans="1:3" ht="15" x14ac:dyDescent="0.25">
      <c r="A4" s="1">
        <v>1728</v>
      </c>
      <c r="B4" s="1" t="s">
        <v>7</v>
      </c>
      <c r="C4" s="1" t="s">
        <v>6</v>
      </c>
    </row>
    <row r="5" spans="1:3" ht="15" x14ac:dyDescent="0.25">
      <c r="A5" s="1">
        <v>1985</v>
      </c>
      <c r="B5" s="1" t="s">
        <v>8</v>
      </c>
      <c r="C5" s="1" t="s">
        <v>6</v>
      </c>
    </row>
    <row r="6" spans="1:3" ht="15" x14ac:dyDescent="0.25">
      <c r="A6" s="1">
        <v>1708</v>
      </c>
      <c r="B6" s="1" t="s">
        <v>9</v>
      </c>
      <c r="C6" s="1" t="s">
        <v>4</v>
      </c>
    </row>
    <row r="7" spans="1:3" ht="15" x14ac:dyDescent="0.25">
      <c r="A7" s="1">
        <v>1060</v>
      </c>
      <c r="B7" s="1" t="s">
        <v>10</v>
      </c>
      <c r="C7" s="1" t="s">
        <v>11</v>
      </c>
    </row>
    <row r="8" spans="1:3" ht="15" x14ac:dyDescent="0.25">
      <c r="A8" s="1">
        <v>1373</v>
      </c>
      <c r="B8" s="1" t="s">
        <v>12</v>
      </c>
      <c r="C8" s="1" t="s">
        <v>13</v>
      </c>
    </row>
    <row r="9" spans="1:3" ht="15" x14ac:dyDescent="0.25">
      <c r="A9" s="1">
        <v>1957</v>
      </c>
      <c r="B9" s="1" t="s">
        <v>14</v>
      </c>
      <c r="C9" s="1" t="s">
        <v>13</v>
      </c>
    </row>
    <row r="10" spans="1:3" ht="15" x14ac:dyDescent="0.25">
      <c r="A10" s="1">
        <v>1624</v>
      </c>
      <c r="B10" s="1" t="s">
        <v>15</v>
      </c>
      <c r="C10" s="1" t="s">
        <v>13</v>
      </c>
    </row>
    <row r="11" spans="1:3" ht="15.75" customHeight="1" x14ac:dyDescent="0.25">
      <c r="A11" s="18">
        <v>2032</v>
      </c>
      <c r="B11" s="18" t="s">
        <v>50</v>
      </c>
      <c r="C11" s="18" t="s">
        <v>4</v>
      </c>
    </row>
    <row r="12" spans="1:3" ht="15.75" customHeight="1" x14ac:dyDescent="0.25">
      <c r="A12" s="18">
        <v>3210</v>
      </c>
      <c r="B12" s="18" t="s">
        <v>51</v>
      </c>
      <c r="C12" s="18" t="s">
        <v>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K306"/>
  <sheetViews>
    <sheetView workbookViewId="0">
      <selection activeCell="F2" sqref="F1:F2"/>
    </sheetView>
  </sheetViews>
  <sheetFormatPr baseColWidth="10" defaultColWidth="12.5703125" defaultRowHeight="15.75" customHeight="1" x14ac:dyDescent="0.25"/>
  <cols>
    <col min="1" max="1" width="12.5703125" style="10"/>
    <col min="2" max="2" width="11.42578125" customWidth="1"/>
    <col min="3" max="3" width="11.42578125" style="16" customWidth="1"/>
    <col min="4" max="4" width="17.42578125" style="11" customWidth="1"/>
    <col min="5" max="5" width="16.7109375" customWidth="1"/>
    <col min="9" max="9" width="17" customWidth="1"/>
  </cols>
  <sheetData>
    <row r="1" spans="1:11" s="17" customFormat="1" ht="15.75" customHeight="1" thickBot="1" x14ac:dyDescent="0.3">
      <c r="A1" s="23" t="s">
        <v>52</v>
      </c>
      <c r="B1" s="24"/>
      <c r="C1" s="25"/>
      <c r="D1" s="11"/>
    </row>
    <row r="2" spans="1:11" s="17" customFormat="1" ht="15.75" customHeight="1" x14ac:dyDescent="0.25">
      <c r="A2" s="7" t="s">
        <v>48</v>
      </c>
      <c r="B2" s="3" t="s">
        <v>49</v>
      </c>
      <c r="C2"/>
      <c r="D2" s="11"/>
    </row>
    <row r="3" spans="1:11" s="17" customFormat="1" ht="15.75" customHeight="1" x14ac:dyDescent="0.25">
      <c r="A3" s="7" t="s">
        <v>16</v>
      </c>
      <c r="B3"/>
      <c r="C3"/>
      <c r="D3" s="11"/>
    </row>
    <row r="4" spans="1:11" s="17" customFormat="1" ht="15.75" customHeight="1" x14ac:dyDescent="0.25">
      <c r="A4" s="7" t="s">
        <v>17</v>
      </c>
      <c r="B4" s="8"/>
      <c r="C4"/>
      <c r="D4" s="11"/>
    </row>
    <row r="5" spans="1:11" s="17" customFormat="1" ht="15.75" customHeight="1" x14ac:dyDescent="0.25">
      <c r="A5" s="7" t="s">
        <v>18</v>
      </c>
      <c r="B5" s="34"/>
      <c r="C5"/>
      <c r="D5" s="11"/>
    </row>
    <row r="6" spans="1:11" s="17" customFormat="1" ht="15.75" customHeight="1" x14ac:dyDescent="0.25">
      <c r="A6" s="7" t="s">
        <v>47</v>
      </c>
      <c r="B6"/>
      <c r="C6"/>
      <c r="D6" s="11"/>
    </row>
    <row r="7" spans="1:11" ht="13.5" x14ac:dyDescent="0.25">
      <c r="A7" s="9" t="s">
        <v>16</v>
      </c>
      <c r="B7" s="2" t="s">
        <v>17</v>
      </c>
      <c r="C7" s="13" t="s">
        <v>18</v>
      </c>
      <c r="D7" s="33" t="s">
        <v>19</v>
      </c>
      <c r="E7" s="2" t="s">
        <v>26</v>
      </c>
    </row>
    <row r="8" spans="1:11" ht="13.5" x14ac:dyDescent="0.25">
      <c r="A8" s="9">
        <v>1710</v>
      </c>
      <c r="B8" s="2" t="s">
        <v>21</v>
      </c>
      <c r="C8" s="14">
        <v>45242</v>
      </c>
      <c r="D8" s="12">
        <v>59891555</v>
      </c>
      <c r="E8" t="str">
        <f>VLOOKUP(Ventas!A8,Asesores!$A$2:$C$12,2,FALSE)</f>
        <v>Santiago Perez</v>
      </c>
    </row>
    <row r="9" spans="1:11" ht="13.5" x14ac:dyDescent="0.25">
      <c r="A9" s="9">
        <v>1957</v>
      </c>
      <c r="B9" s="2" t="s">
        <v>22</v>
      </c>
      <c r="C9" s="15">
        <v>44971</v>
      </c>
      <c r="D9" s="12">
        <v>23379238</v>
      </c>
      <c r="E9" t="str">
        <f>VLOOKUP(Ventas!A9,Asesores!$A$2:$C$12,2,FALSE)</f>
        <v>Gilberto Hurtado</v>
      </c>
    </row>
    <row r="10" spans="1:11" ht="13.5" x14ac:dyDescent="0.25">
      <c r="A10" s="9">
        <v>1373</v>
      </c>
      <c r="B10" s="2" t="s">
        <v>20</v>
      </c>
      <c r="C10" s="15">
        <v>45175</v>
      </c>
      <c r="D10" s="12">
        <v>50255398</v>
      </c>
      <c r="E10" t="str">
        <f>VLOOKUP(Ventas!A10,Asesores!$A$2:$C$12,2,FALSE)</f>
        <v>Beatriz Osorio</v>
      </c>
    </row>
    <row r="11" spans="1:11" ht="13.5" x14ac:dyDescent="0.25">
      <c r="A11" s="9">
        <v>1728</v>
      </c>
      <c r="B11" s="2" t="s">
        <v>23</v>
      </c>
      <c r="C11" s="15">
        <v>45156</v>
      </c>
      <c r="D11" s="12">
        <v>27012164</v>
      </c>
      <c r="E11" t="str">
        <f>VLOOKUP(Ventas!A11,Asesores!$A$2:$C$12,2,FALSE)</f>
        <v>Nicolas Sanchez</v>
      </c>
    </row>
    <row r="12" spans="1:11" ht="13.5" x14ac:dyDescent="0.25">
      <c r="A12" s="9">
        <v>1985</v>
      </c>
      <c r="B12" s="2" t="s">
        <v>23</v>
      </c>
      <c r="C12" s="15">
        <v>45021</v>
      </c>
      <c r="D12" s="12">
        <v>11754232</v>
      </c>
      <c r="E12" t="str">
        <f>VLOOKUP(Ventas!A12,Asesores!$A$2:$C$12,2,FALSE)</f>
        <v>Carolina Romero</v>
      </c>
    </row>
    <row r="13" spans="1:11" ht="13.5" x14ac:dyDescent="0.25">
      <c r="A13" s="9">
        <v>1624</v>
      </c>
      <c r="B13" s="2" t="s">
        <v>23</v>
      </c>
      <c r="C13" s="14">
        <v>45278</v>
      </c>
      <c r="D13" s="12">
        <v>11020414</v>
      </c>
      <c r="E13" t="str">
        <f>VLOOKUP(Ventas!A13,Asesores!$A$2:$C$12,2,FALSE)</f>
        <v>Alejandro Villamil</v>
      </c>
    </row>
    <row r="14" spans="1:11" ht="13.5" x14ac:dyDescent="0.25">
      <c r="A14" s="9">
        <v>1373</v>
      </c>
      <c r="B14" s="2" t="s">
        <v>23</v>
      </c>
      <c r="C14" s="14">
        <v>45213</v>
      </c>
      <c r="D14" s="12">
        <v>46145679</v>
      </c>
      <c r="E14" t="str">
        <f>VLOOKUP(Ventas!A14,Asesores!$A$2:$C$12,2,FALSE)</f>
        <v>Beatriz Osorio</v>
      </c>
    </row>
    <row r="15" spans="1:11" ht="13.5" x14ac:dyDescent="0.25">
      <c r="A15" s="9">
        <v>1373</v>
      </c>
      <c r="B15" s="20" t="s">
        <v>24</v>
      </c>
      <c r="C15" s="21">
        <v>45145</v>
      </c>
      <c r="D15" s="22">
        <v>60154234</v>
      </c>
      <c r="E15" t="str">
        <f>VLOOKUP(Ventas!A15,Asesores!$A$2:$C$12,2,FALSE)</f>
        <v>Beatriz Osorio</v>
      </c>
      <c r="J15" s="3"/>
    </row>
    <row r="16" spans="1:11" ht="13.5" x14ac:dyDescent="0.25">
      <c r="A16" s="9">
        <v>1624</v>
      </c>
      <c r="B16" s="20" t="s">
        <v>20</v>
      </c>
      <c r="C16" s="21">
        <v>45091</v>
      </c>
      <c r="D16" s="22">
        <v>60994647</v>
      </c>
      <c r="E16" t="str">
        <f>VLOOKUP(Ventas!A16,Asesores!$A$2:$C$12,2,FALSE)</f>
        <v>Alejandro Villamil</v>
      </c>
      <c r="K16" s="17"/>
    </row>
    <row r="17" spans="1:5" ht="13.5" x14ac:dyDescent="0.25">
      <c r="A17" s="9">
        <v>1957</v>
      </c>
      <c r="B17" s="20" t="s">
        <v>22</v>
      </c>
      <c r="C17" s="21">
        <v>45141</v>
      </c>
      <c r="D17" s="22">
        <v>43093699</v>
      </c>
      <c r="E17" t="str">
        <f>VLOOKUP(Ventas!A17,Asesores!$A$2:$C$12,2,FALSE)</f>
        <v>Gilberto Hurtado</v>
      </c>
    </row>
    <row r="18" spans="1:5" ht="13.5" x14ac:dyDescent="0.25">
      <c r="A18" s="9">
        <v>1373</v>
      </c>
      <c r="B18" s="20" t="s">
        <v>21</v>
      </c>
      <c r="C18" s="21">
        <v>45036</v>
      </c>
      <c r="D18" s="22">
        <v>15169533</v>
      </c>
      <c r="E18" t="str">
        <f>VLOOKUP(Ventas!A18,Asesores!$A$2:$C$12,2,FALSE)</f>
        <v>Beatriz Osorio</v>
      </c>
    </row>
    <row r="19" spans="1:5" ht="13.5" x14ac:dyDescent="0.25">
      <c r="A19" s="9">
        <v>1957</v>
      </c>
      <c r="B19" s="20" t="s">
        <v>22</v>
      </c>
      <c r="C19" s="21">
        <v>45093</v>
      </c>
      <c r="D19" s="22">
        <v>17788893</v>
      </c>
      <c r="E19" t="str">
        <f>VLOOKUP(Ventas!A19,Asesores!$A$2:$C$12,2,FALSE)</f>
        <v>Gilberto Hurtado</v>
      </c>
    </row>
    <row r="20" spans="1:5" ht="13.5" x14ac:dyDescent="0.25">
      <c r="A20" s="9">
        <v>1957</v>
      </c>
      <c r="B20" s="20" t="s">
        <v>23</v>
      </c>
      <c r="C20" s="21">
        <v>44959</v>
      </c>
      <c r="D20" s="22">
        <v>52631979</v>
      </c>
      <c r="E20" t="str">
        <f>VLOOKUP(Ventas!A20,Asesores!$A$2:$C$12,2,FALSE)</f>
        <v>Gilberto Hurtado</v>
      </c>
    </row>
    <row r="21" spans="1:5" ht="13.5" x14ac:dyDescent="0.25">
      <c r="A21" s="9">
        <v>1373</v>
      </c>
      <c r="B21" s="20" t="s">
        <v>20</v>
      </c>
      <c r="C21" s="21">
        <v>45104</v>
      </c>
      <c r="D21" s="22">
        <v>46332646</v>
      </c>
      <c r="E21" t="str">
        <f>VLOOKUP(Ventas!A21,Asesores!$A$2:$C$12,2,FALSE)</f>
        <v>Beatriz Osorio</v>
      </c>
    </row>
    <row r="22" spans="1:5" ht="13.5" x14ac:dyDescent="0.25">
      <c r="A22" s="9">
        <v>1728</v>
      </c>
      <c r="B22" s="2" t="s">
        <v>20</v>
      </c>
      <c r="C22" s="14">
        <v>45251</v>
      </c>
      <c r="D22" s="12">
        <v>20963354</v>
      </c>
      <c r="E22" t="str">
        <f>VLOOKUP(Ventas!A22,Asesores!$A$2:$C$12,2,FALSE)</f>
        <v>Nicolas Sanchez</v>
      </c>
    </row>
    <row r="23" spans="1:5" ht="13.5" x14ac:dyDescent="0.25">
      <c r="A23" s="9">
        <v>1728</v>
      </c>
      <c r="B23" s="2" t="s">
        <v>24</v>
      </c>
      <c r="C23" s="14">
        <v>45214</v>
      </c>
      <c r="D23" s="12">
        <v>42213515</v>
      </c>
      <c r="E23" t="str">
        <f>VLOOKUP(Ventas!A23,Asesores!$A$2:$C$12,2,FALSE)</f>
        <v>Nicolas Sanchez</v>
      </c>
    </row>
    <row r="24" spans="1:5" ht="13.5" x14ac:dyDescent="0.25">
      <c r="A24" s="9">
        <v>1957</v>
      </c>
      <c r="B24" s="2" t="s">
        <v>24</v>
      </c>
      <c r="C24" s="15">
        <v>45237</v>
      </c>
      <c r="D24" s="12">
        <v>53964354</v>
      </c>
      <c r="E24" t="str">
        <f>VLOOKUP(Ventas!A24,Asesores!$A$2:$C$12,2,FALSE)</f>
        <v>Gilberto Hurtado</v>
      </c>
    </row>
    <row r="25" spans="1:5" ht="13.5" x14ac:dyDescent="0.25">
      <c r="A25" s="9">
        <v>1957</v>
      </c>
      <c r="B25" s="2" t="s">
        <v>23</v>
      </c>
      <c r="C25" s="15">
        <v>45113</v>
      </c>
      <c r="D25" s="12">
        <v>47535940</v>
      </c>
      <c r="E25" t="str">
        <f>VLOOKUP(Ventas!A25,Asesores!$A$2:$C$12,2,FALSE)</f>
        <v>Gilberto Hurtado</v>
      </c>
    </row>
    <row r="26" spans="1:5" ht="13.5" x14ac:dyDescent="0.25">
      <c r="A26" s="9">
        <v>1624</v>
      </c>
      <c r="B26" s="2" t="s">
        <v>22</v>
      </c>
      <c r="C26" s="15">
        <v>45138</v>
      </c>
      <c r="D26" s="12">
        <v>53836437</v>
      </c>
      <c r="E26" t="str">
        <f>VLOOKUP(Ventas!A26,Asesores!$A$2:$C$12,2,FALSE)</f>
        <v>Alejandro Villamil</v>
      </c>
    </row>
    <row r="27" spans="1:5" ht="13.5" x14ac:dyDescent="0.25">
      <c r="A27" s="9">
        <v>1834</v>
      </c>
      <c r="B27" s="2" t="s">
        <v>24</v>
      </c>
      <c r="C27" s="15">
        <v>45141</v>
      </c>
      <c r="D27" s="12">
        <v>38737953</v>
      </c>
      <c r="E27" t="str">
        <f>VLOOKUP(Ventas!A27,Asesores!$A$2:$C$12,2,FALSE)</f>
        <v>Robert Castaño</v>
      </c>
    </row>
    <row r="28" spans="1:5" ht="13.5" x14ac:dyDescent="0.25">
      <c r="A28" s="9">
        <v>1957</v>
      </c>
      <c r="B28" s="2" t="s">
        <v>22</v>
      </c>
      <c r="C28" s="15">
        <v>44938</v>
      </c>
      <c r="D28" s="12">
        <v>69742908</v>
      </c>
      <c r="E28" t="str">
        <f>VLOOKUP(Ventas!A28,Asesores!$A$2:$C$12,2,FALSE)</f>
        <v>Gilberto Hurtado</v>
      </c>
    </row>
    <row r="29" spans="1:5" ht="13.5" x14ac:dyDescent="0.25">
      <c r="A29" s="9">
        <v>1708</v>
      </c>
      <c r="B29" s="2" t="s">
        <v>24</v>
      </c>
      <c r="C29" s="15">
        <v>44944</v>
      </c>
      <c r="D29" s="12">
        <v>55994290</v>
      </c>
      <c r="E29" t="str">
        <f>VLOOKUP(Ventas!A29,Asesores!$A$2:$C$12,2,FALSE)</f>
        <v>Vicky Ortiz</v>
      </c>
    </row>
    <row r="30" spans="1:5" ht="13.5" x14ac:dyDescent="0.25">
      <c r="A30" s="9">
        <v>1624</v>
      </c>
      <c r="B30" s="2" t="s">
        <v>23</v>
      </c>
      <c r="C30" s="15">
        <v>45072</v>
      </c>
      <c r="D30" s="12">
        <v>47734426</v>
      </c>
      <c r="E30" t="str">
        <f>VLOOKUP(Ventas!A30,Asesores!$A$2:$C$12,2,FALSE)</f>
        <v>Alejandro Villamil</v>
      </c>
    </row>
    <row r="31" spans="1:5" ht="13.5" x14ac:dyDescent="0.25">
      <c r="A31" s="9">
        <v>1060</v>
      </c>
      <c r="B31" s="2" t="s">
        <v>24</v>
      </c>
      <c r="C31" s="15">
        <v>45038</v>
      </c>
      <c r="D31" s="12">
        <v>29584555</v>
      </c>
      <c r="E31" t="str">
        <f>VLOOKUP(Ventas!A31,Asesores!$A$2:$C$12,2,FALSE)</f>
        <v>Sandra Lopez</v>
      </c>
    </row>
    <row r="32" spans="1:5" ht="13.5" x14ac:dyDescent="0.25">
      <c r="A32" s="9">
        <v>1373</v>
      </c>
      <c r="B32" s="2" t="s">
        <v>23</v>
      </c>
      <c r="C32" s="15">
        <v>45025</v>
      </c>
      <c r="D32" s="12">
        <v>23091025</v>
      </c>
      <c r="E32" t="str">
        <f>VLOOKUP(Ventas!A32,Asesores!$A$2:$C$12,2,FALSE)</f>
        <v>Beatriz Osorio</v>
      </c>
    </row>
    <row r="33" spans="1:5" ht="13.5" x14ac:dyDescent="0.25">
      <c r="A33" s="9">
        <v>1834</v>
      </c>
      <c r="B33" s="2" t="s">
        <v>20</v>
      </c>
      <c r="C33" s="15">
        <v>45192</v>
      </c>
      <c r="D33" s="12">
        <v>18276494</v>
      </c>
      <c r="E33" t="str">
        <f>VLOOKUP(Ventas!A33,Asesores!$A$2:$C$12,2,FALSE)</f>
        <v>Robert Castaño</v>
      </c>
    </row>
    <row r="34" spans="1:5" ht="13.5" x14ac:dyDescent="0.25">
      <c r="A34" s="9">
        <v>1985</v>
      </c>
      <c r="B34" s="2" t="s">
        <v>25</v>
      </c>
      <c r="C34" s="15">
        <v>45193</v>
      </c>
      <c r="D34" s="12">
        <v>30835954</v>
      </c>
      <c r="E34" t="str">
        <f>VLOOKUP(Ventas!A34,Asesores!$A$2:$C$12,2,FALSE)</f>
        <v>Carolina Romero</v>
      </c>
    </row>
    <row r="35" spans="1:5" ht="13.5" x14ac:dyDescent="0.25">
      <c r="A35" s="9">
        <v>1728</v>
      </c>
      <c r="B35" s="2" t="s">
        <v>24</v>
      </c>
      <c r="C35" s="15">
        <v>44990</v>
      </c>
      <c r="D35" s="12">
        <v>33303249</v>
      </c>
      <c r="E35" t="str">
        <f>VLOOKUP(Ventas!A35,Asesores!$A$2:$C$12,2,FALSE)</f>
        <v>Nicolas Sanchez</v>
      </c>
    </row>
    <row r="36" spans="1:5" ht="13.5" x14ac:dyDescent="0.25">
      <c r="A36" s="9">
        <v>1373</v>
      </c>
      <c r="B36" s="2" t="s">
        <v>22</v>
      </c>
      <c r="C36" s="14">
        <v>45215</v>
      </c>
      <c r="D36" s="12">
        <v>54007629</v>
      </c>
      <c r="E36" t="str">
        <f>VLOOKUP(Ventas!A36,Asesores!$A$2:$C$12,2,FALSE)</f>
        <v>Beatriz Osorio</v>
      </c>
    </row>
    <row r="37" spans="1:5" ht="13.5" x14ac:dyDescent="0.25">
      <c r="A37" s="9">
        <v>1624</v>
      </c>
      <c r="B37" s="2" t="s">
        <v>24</v>
      </c>
      <c r="C37" s="15">
        <v>45176</v>
      </c>
      <c r="D37" s="12">
        <v>21597414</v>
      </c>
      <c r="E37" t="str">
        <f>VLOOKUP(Ventas!A37,Asesores!$A$2:$C$12,2,FALSE)</f>
        <v>Alejandro Villamil</v>
      </c>
    </row>
    <row r="38" spans="1:5" ht="13.5" x14ac:dyDescent="0.25">
      <c r="A38" s="9">
        <v>1373</v>
      </c>
      <c r="B38" s="2" t="s">
        <v>22</v>
      </c>
      <c r="C38" s="15">
        <v>45042</v>
      </c>
      <c r="D38" s="12">
        <v>17518302</v>
      </c>
      <c r="E38" t="str">
        <f>VLOOKUP(Ventas!A38,Asesores!$A$2:$C$12,2,FALSE)</f>
        <v>Beatriz Osorio</v>
      </c>
    </row>
    <row r="39" spans="1:5" ht="13.5" x14ac:dyDescent="0.25">
      <c r="A39" s="9">
        <v>1624</v>
      </c>
      <c r="B39" s="2" t="s">
        <v>24</v>
      </c>
      <c r="C39" s="15">
        <v>45035</v>
      </c>
      <c r="D39" s="12">
        <v>33705973</v>
      </c>
      <c r="E39" t="str">
        <f>VLOOKUP(Ventas!A39,Asesores!$A$2:$C$12,2,FALSE)</f>
        <v>Alejandro Villamil</v>
      </c>
    </row>
    <row r="40" spans="1:5" ht="13.5" x14ac:dyDescent="0.25">
      <c r="A40" s="9">
        <v>1834</v>
      </c>
      <c r="B40" s="2" t="s">
        <v>25</v>
      </c>
      <c r="C40" s="15">
        <v>45205</v>
      </c>
      <c r="D40" s="12">
        <v>65970852</v>
      </c>
      <c r="E40" t="str">
        <f>VLOOKUP(Ventas!A40,Asesores!$A$2:$C$12,2,FALSE)</f>
        <v>Robert Castaño</v>
      </c>
    </row>
    <row r="41" spans="1:5" ht="13.5" x14ac:dyDescent="0.25">
      <c r="A41" s="9">
        <v>1957</v>
      </c>
      <c r="B41" s="2" t="s">
        <v>21</v>
      </c>
      <c r="C41" s="14">
        <v>45227</v>
      </c>
      <c r="D41" s="12">
        <v>19590803</v>
      </c>
      <c r="E41" t="str">
        <f>VLOOKUP(Ventas!A41,Asesores!$A$2:$C$12,2,FALSE)</f>
        <v>Gilberto Hurtado</v>
      </c>
    </row>
    <row r="42" spans="1:5" ht="13.5" x14ac:dyDescent="0.25">
      <c r="A42" s="9">
        <v>1624</v>
      </c>
      <c r="B42" s="2" t="s">
        <v>23</v>
      </c>
      <c r="C42" s="15">
        <v>45122</v>
      </c>
      <c r="D42" s="12">
        <v>22211590</v>
      </c>
      <c r="E42" t="str">
        <f>VLOOKUP(Ventas!A42,Asesores!$A$2:$C$12,2,FALSE)</f>
        <v>Alejandro Villamil</v>
      </c>
    </row>
    <row r="43" spans="1:5" ht="13.5" x14ac:dyDescent="0.25">
      <c r="A43" s="9">
        <v>1373</v>
      </c>
      <c r="B43" s="2" t="s">
        <v>24</v>
      </c>
      <c r="C43" s="15">
        <v>45020</v>
      </c>
      <c r="D43" s="12">
        <v>54771364</v>
      </c>
      <c r="E43" t="str">
        <f>VLOOKUP(Ventas!A43,Asesores!$A$2:$C$12,2,FALSE)</f>
        <v>Beatriz Osorio</v>
      </c>
    </row>
    <row r="44" spans="1:5" ht="13.5" x14ac:dyDescent="0.25">
      <c r="A44" s="9">
        <v>1985</v>
      </c>
      <c r="B44" s="2" t="s">
        <v>21</v>
      </c>
      <c r="C44" s="15">
        <v>45113</v>
      </c>
      <c r="D44" s="12">
        <v>16228984</v>
      </c>
      <c r="E44" t="str">
        <f>VLOOKUP(Ventas!A44,Asesores!$A$2:$C$12,2,FALSE)</f>
        <v>Carolina Romero</v>
      </c>
    </row>
    <row r="45" spans="1:5" ht="13.5" x14ac:dyDescent="0.25">
      <c r="A45" s="9">
        <v>1708</v>
      </c>
      <c r="B45" s="2" t="s">
        <v>22</v>
      </c>
      <c r="C45" s="15">
        <v>45121</v>
      </c>
      <c r="D45" s="12">
        <v>31761667</v>
      </c>
      <c r="E45" t="str">
        <f>VLOOKUP(Ventas!A45,Asesores!$A$2:$C$12,2,FALSE)</f>
        <v>Vicky Ortiz</v>
      </c>
    </row>
    <row r="46" spans="1:5" ht="13.5" x14ac:dyDescent="0.25">
      <c r="A46" s="9">
        <v>1985</v>
      </c>
      <c r="B46" s="2" t="s">
        <v>24</v>
      </c>
      <c r="C46" s="14">
        <v>45275</v>
      </c>
      <c r="D46" s="12">
        <v>16308406</v>
      </c>
      <c r="E46" t="str">
        <f>VLOOKUP(Ventas!A46,Asesores!$A$2:$C$12,2,FALSE)</f>
        <v>Carolina Romero</v>
      </c>
    </row>
    <row r="47" spans="1:5" ht="13.5" x14ac:dyDescent="0.25">
      <c r="A47" s="9">
        <v>1957</v>
      </c>
      <c r="B47" s="2" t="s">
        <v>22</v>
      </c>
      <c r="C47" s="15">
        <v>45123</v>
      </c>
      <c r="D47" s="12">
        <v>63655987</v>
      </c>
      <c r="E47" t="str">
        <f>VLOOKUP(Ventas!A47,Asesores!$A$2:$C$12,2,FALSE)</f>
        <v>Gilberto Hurtado</v>
      </c>
    </row>
    <row r="48" spans="1:5" ht="13.5" x14ac:dyDescent="0.25">
      <c r="A48" s="9">
        <v>1060</v>
      </c>
      <c r="B48" s="2" t="s">
        <v>22</v>
      </c>
      <c r="C48" s="15">
        <v>45107</v>
      </c>
      <c r="D48" s="12">
        <v>16567801</v>
      </c>
      <c r="E48" t="str">
        <f>VLOOKUP(Ventas!A48,Asesores!$A$2:$C$12,2,FALSE)</f>
        <v>Sandra Lopez</v>
      </c>
    </row>
    <row r="49" spans="1:5" ht="13.5" x14ac:dyDescent="0.25">
      <c r="A49" s="9">
        <v>1624</v>
      </c>
      <c r="B49" s="2" t="s">
        <v>22</v>
      </c>
      <c r="C49" s="14">
        <v>45288</v>
      </c>
      <c r="D49" s="12">
        <v>58497062</v>
      </c>
      <c r="E49" t="str">
        <f>VLOOKUP(Ventas!A49,Asesores!$A$2:$C$12,2,FALSE)</f>
        <v>Alejandro Villamil</v>
      </c>
    </row>
    <row r="50" spans="1:5" ht="13.5" x14ac:dyDescent="0.25">
      <c r="A50" s="9">
        <v>1624</v>
      </c>
      <c r="B50" s="2" t="s">
        <v>22</v>
      </c>
      <c r="C50" s="15">
        <v>44993</v>
      </c>
      <c r="D50" s="12">
        <v>50713175</v>
      </c>
      <c r="E50" t="str">
        <f>VLOOKUP(Ventas!A50,Asesores!$A$2:$C$12,2,FALSE)</f>
        <v>Alejandro Villamil</v>
      </c>
    </row>
    <row r="51" spans="1:5" ht="13.5" x14ac:dyDescent="0.25">
      <c r="A51" s="9">
        <v>1957</v>
      </c>
      <c r="B51" s="2" t="s">
        <v>20</v>
      </c>
      <c r="C51" s="15">
        <v>45265</v>
      </c>
      <c r="D51" s="12">
        <v>32199633</v>
      </c>
      <c r="E51" t="str">
        <f>VLOOKUP(Ventas!A51,Asesores!$A$2:$C$12,2,FALSE)</f>
        <v>Gilberto Hurtado</v>
      </c>
    </row>
    <row r="52" spans="1:5" ht="13.5" x14ac:dyDescent="0.25">
      <c r="A52" s="9">
        <v>1624</v>
      </c>
      <c r="B52" s="2" t="s">
        <v>23</v>
      </c>
      <c r="C52" s="14">
        <v>45220</v>
      </c>
      <c r="D52" s="12">
        <v>60266340</v>
      </c>
      <c r="E52" t="str">
        <f>VLOOKUP(Ventas!A52,Asesores!$A$2:$C$12,2,FALSE)</f>
        <v>Alejandro Villamil</v>
      </c>
    </row>
    <row r="53" spans="1:5" ht="13.5" x14ac:dyDescent="0.25">
      <c r="A53" s="9">
        <v>1957</v>
      </c>
      <c r="B53" s="2" t="s">
        <v>21</v>
      </c>
      <c r="C53" s="15">
        <v>45162</v>
      </c>
      <c r="D53" s="12">
        <v>51427239</v>
      </c>
      <c r="E53" t="str">
        <f>VLOOKUP(Ventas!A53,Asesores!$A$2:$C$12,2,FALSE)</f>
        <v>Gilberto Hurtado</v>
      </c>
    </row>
    <row r="54" spans="1:5" ht="13.5" x14ac:dyDescent="0.25">
      <c r="A54" s="9">
        <v>1060</v>
      </c>
      <c r="B54" s="2" t="s">
        <v>21</v>
      </c>
      <c r="C54" s="15">
        <v>45041</v>
      </c>
      <c r="D54" s="12">
        <v>54029275</v>
      </c>
      <c r="E54" t="str">
        <f>VLOOKUP(Ventas!A54,Asesores!$A$2:$C$12,2,FALSE)</f>
        <v>Sandra Lopez</v>
      </c>
    </row>
    <row r="55" spans="1:5" ht="13.5" x14ac:dyDescent="0.25">
      <c r="A55" s="9">
        <v>1728</v>
      </c>
      <c r="B55" s="2" t="s">
        <v>24</v>
      </c>
      <c r="C55" s="15">
        <v>45128</v>
      </c>
      <c r="D55" s="12">
        <v>19456840</v>
      </c>
      <c r="E55" t="str">
        <f>VLOOKUP(Ventas!A55,Asesores!$A$2:$C$12,2,FALSE)</f>
        <v>Nicolas Sanchez</v>
      </c>
    </row>
    <row r="56" spans="1:5" ht="13.5" x14ac:dyDescent="0.25">
      <c r="A56" s="9">
        <v>1624</v>
      </c>
      <c r="B56" s="2" t="s">
        <v>21</v>
      </c>
      <c r="C56" s="15">
        <v>44939</v>
      </c>
      <c r="D56" s="12">
        <v>54149460</v>
      </c>
      <c r="E56" t="str">
        <f>VLOOKUP(Ventas!A56,Asesores!$A$2:$C$12,2,FALSE)</f>
        <v>Alejandro Villamil</v>
      </c>
    </row>
    <row r="57" spans="1:5" ht="13.5" x14ac:dyDescent="0.25">
      <c r="A57" s="9">
        <v>1728</v>
      </c>
      <c r="B57" s="2" t="s">
        <v>21</v>
      </c>
      <c r="C57" s="15">
        <v>45233</v>
      </c>
      <c r="D57" s="12">
        <v>57152764</v>
      </c>
      <c r="E57" t="str">
        <f>VLOOKUP(Ventas!A57,Asesores!$A$2:$C$12,2,FALSE)</f>
        <v>Nicolas Sanchez</v>
      </c>
    </row>
    <row r="58" spans="1:5" ht="13.5" x14ac:dyDescent="0.25">
      <c r="A58" s="9">
        <v>1728</v>
      </c>
      <c r="B58" s="2" t="s">
        <v>21</v>
      </c>
      <c r="C58" s="15">
        <v>45264</v>
      </c>
      <c r="D58" s="12">
        <v>26885632</v>
      </c>
      <c r="E58" t="str">
        <f>VLOOKUP(Ventas!A58,Asesores!$A$2:$C$12,2,FALSE)</f>
        <v>Nicolas Sanchez</v>
      </c>
    </row>
    <row r="59" spans="1:5" ht="13.5" x14ac:dyDescent="0.25">
      <c r="A59" s="9">
        <v>1957</v>
      </c>
      <c r="B59" s="2" t="s">
        <v>23</v>
      </c>
      <c r="C59" s="14">
        <v>45281</v>
      </c>
      <c r="D59" s="12">
        <v>62968583</v>
      </c>
      <c r="E59" t="str">
        <f>VLOOKUP(Ventas!A59,Asesores!$A$2:$C$12,2,FALSE)</f>
        <v>Gilberto Hurtado</v>
      </c>
    </row>
    <row r="60" spans="1:5" ht="13.5" x14ac:dyDescent="0.25">
      <c r="A60" s="9">
        <v>1708</v>
      </c>
      <c r="B60" s="2" t="s">
        <v>20</v>
      </c>
      <c r="C60" s="15">
        <v>45075</v>
      </c>
      <c r="D60" s="12">
        <v>38053409</v>
      </c>
      <c r="E60" t="str">
        <f>VLOOKUP(Ventas!A60,Asesores!$A$2:$C$12,2,FALSE)</f>
        <v>Vicky Ortiz</v>
      </c>
    </row>
    <row r="61" spans="1:5" ht="13.5" x14ac:dyDescent="0.25">
      <c r="A61" s="9">
        <v>1373</v>
      </c>
      <c r="B61" s="2" t="s">
        <v>24</v>
      </c>
      <c r="C61" s="15">
        <v>45130</v>
      </c>
      <c r="D61" s="12">
        <v>25684109</v>
      </c>
      <c r="E61" t="str">
        <f>VLOOKUP(Ventas!A61,Asesores!$A$2:$C$12,2,FALSE)</f>
        <v>Beatriz Osorio</v>
      </c>
    </row>
    <row r="62" spans="1:5" ht="13.5" x14ac:dyDescent="0.25">
      <c r="A62" s="9">
        <v>1373</v>
      </c>
      <c r="B62" s="2" t="s">
        <v>23</v>
      </c>
      <c r="C62" s="15">
        <v>45034</v>
      </c>
      <c r="D62" s="12">
        <v>51897542</v>
      </c>
      <c r="E62" t="str">
        <f>VLOOKUP(Ventas!A62,Asesores!$A$2:$C$12,2,FALSE)</f>
        <v>Beatriz Osorio</v>
      </c>
    </row>
    <row r="63" spans="1:5" ht="13.5" x14ac:dyDescent="0.25">
      <c r="A63" s="9">
        <v>1060</v>
      </c>
      <c r="B63" s="2" t="s">
        <v>22</v>
      </c>
      <c r="C63" s="15">
        <v>45085</v>
      </c>
      <c r="D63" s="12">
        <v>28663792</v>
      </c>
      <c r="E63" t="str">
        <f>VLOOKUP(Ventas!A63,Asesores!$A$2:$C$12,2,FALSE)</f>
        <v>Sandra Lopez</v>
      </c>
    </row>
    <row r="64" spans="1:5" ht="13.5" x14ac:dyDescent="0.25">
      <c r="A64" s="9">
        <v>1728</v>
      </c>
      <c r="B64" s="2" t="s">
        <v>22</v>
      </c>
      <c r="C64" s="15">
        <v>45014</v>
      </c>
      <c r="D64" s="12">
        <v>66032116</v>
      </c>
      <c r="E64" t="str">
        <f>VLOOKUP(Ventas!A64,Asesores!$A$2:$C$12,2,FALSE)</f>
        <v>Nicolas Sanchez</v>
      </c>
    </row>
    <row r="65" spans="1:5" ht="13.5" x14ac:dyDescent="0.25">
      <c r="A65" s="9">
        <v>1957</v>
      </c>
      <c r="B65" s="2" t="s">
        <v>24</v>
      </c>
      <c r="C65" s="15">
        <v>45267</v>
      </c>
      <c r="D65" s="12">
        <v>56647723</v>
      </c>
      <c r="E65" t="str">
        <f>VLOOKUP(Ventas!A65,Asesores!$A$2:$C$12,2,FALSE)</f>
        <v>Gilberto Hurtado</v>
      </c>
    </row>
    <row r="66" spans="1:5" ht="13.5" x14ac:dyDescent="0.25">
      <c r="A66" s="9">
        <v>1708</v>
      </c>
      <c r="B66" s="2" t="s">
        <v>24</v>
      </c>
      <c r="C66" s="15">
        <v>45125</v>
      </c>
      <c r="D66" s="12">
        <v>13905400</v>
      </c>
      <c r="E66" t="str">
        <f>VLOOKUP(Ventas!A66,Asesores!$A$2:$C$12,2,FALSE)</f>
        <v>Vicky Ortiz</v>
      </c>
    </row>
    <row r="67" spans="1:5" ht="13.5" x14ac:dyDescent="0.25">
      <c r="A67" s="9">
        <v>1957</v>
      </c>
      <c r="B67" s="2" t="s">
        <v>23</v>
      </c>
      <c r="C67" s="15">
        <v>44985</v>
      </c>
      <c r="D67" s="12">
        <v>32247053</v>
      </c>
      <c r="E67" t="str">
        <f>VLOOKUP(Ventas!A67,Asesores!$A$2:$C$12,2,FALSE)</f>
        <v>Gilberto Hurtado</v>
      </c>
    </row>
    <row r="68" spans="1:5" ht="13.5" x14ac:dyDescent="0.25">
      <c r="A68" s="9">
        <v>1624</v>
      </c>
      <c r="B68" s="2" t="s">
        <v>21</v>
      </c>
      <c r="C68" s="15">
        <v>44967</v>
      </c>
      <c r="D68" s="12">
        <v>22319949</v>
      </c>
      <c r="E68" t="str">
        <f>VLOOKUP(Ventas!A68,Asesores!$A$2:$C$12,2,FALSE)</f>
        <v>Alejandro Villamil</v>
      </c>
    </row>
    <row r="69" spans="1:5" ht="13.5" x14ac:dyDescent="0.25">
      <c r="A69" s="9">
        <v>1957</v>
      </c>
      <c r="B69" s="2" t="s">
        <v>22</v>
      </c>
      <c r="C69" s="14">
        <v>45287</v>
      </c>
      <c r="D69" s="12">
        <v>32698705</v>
      </c>
      <c r="E69" t="str">
        <f>VLOOKUP(Ventas!A69,Asesores!$A$2:$C$12,2,FALSE)</f>
        <v>Gilberto Hurtado</v>
      </c>
    </row>
    <row r="70" spans="1:5" ht="13.5" x14ac:dyDescent="0.25">
      <c r="A70" s="9">
        <v>1834</v>
      </c>
      <c r="B70" s="2" t="s">
        <v>23</v>
      </c>
      <c r="C70" s="14">
        <v>45289</v>
      </c>
      <c r="D70" s="12">
        <v>56185587</v>
      </c>
      <c r="E70" t="str">
        <f>VLOOKUP(Ventas!A70,Asesores!$A$2:$C$12,2,FALSE)</f>
        <v>Robert Castaño</v>
      </c>
    </row>
    <row r="71" spans="1:5" ht="13.5" x14ac:dyDescent="0.25">
      <c r="A71" s="9">
        <v>1728</v>
      </c>
      <c r="B71" s="2" t="s">
        <v>25</v>
      </c>
      <c r="C71" s="15">
        <v>45036</v>
      </c>
      <c r="D71" s="12">
        <v>19616105</v>
      </c>
      <c r="E71" t="str">
        <f>VLOOKUP(Ventas!A71,Asesores!$A$2:$C$12,2,FALSE)</f>
        <v>Nicolas Sanchez</v>
      </c>
    </row>
    <row r="72" spans="1:5" ht="13.5" x14ac:dyDescent="0.25">
      <c r="A72" s="9">
        <v>1710</v>
      </c>
      <c r="B72" s="2" t="s">
        <v>23</v>
      </c>
      <c r="C72" s="15">
        <v>45130</v>
      </c>
      <c r="D72" s="12">
        <v>60460612</v>
      </c>
      <c r="E72" t="str">
        <f>VLOOKUP(Ventas!A72,Asesores!$A$2:$C$12,2,FALSE)</f>
        <v>Santiago Perez</v>
      </c>
    </row>
    <row r="73" spans="1:5" ht="13.5" x14ac:dyDescent="0.25">
      <c r="A73" s="9">
        <v>1708</v>
      </c>
      <c r="B73" s="2" t="s">
        <v>23</v>
      </c>
      <c r="C73" s="15">
        <v>45061</v>
      </c>
      <c r="D73" s="12">
        <v>13367738</v>
      </c>
      <c r="E73" t="str">
        <f>VLOOKUP(Ventas!A73,Asesores!$A$2:$C$12,2,FALSE)</f>
        <v>Vicky Ortiz</v>
      </c>
    </row>
    <row r="74" spans="1:5" ht="13.5" x14ac:dyDescent="0.25">
      <c r="A74" s="9">
        <v>1373</v>
      </c>
      <c r="B74" s="2" t="s">
        <v>20</v>
      </c>
      <c r="C74" s="15">
        <v>45074</v>
      </c>
      <c r="D74" s="12">
        <v>23601060</v>
      </c>
      <c r="E74" t="str">
        <f>VLOOKUP(Ventas!A74,Asesores!$A$2:$C$12,2,FALSE)</f>
        <v>Beatriz Osorio</v>
      </c>
    </row>
    <row r="75" spans="1:5" ht="13.5" x14ac:dyDescent="0.25">
      <c r="A75" s="9">
        <v>1957</v>
      </c>
      <c r="B75" s="2" t="s">
        <v>21</v>
      </c>
      <c r="C75" s="15">
        <v>45124</v>
      </c>
      <c r="D75" s="12">
        <v>30852015</v>
      </c>
      <c r="E75" t="str">
        <f>VLOOKUP(Ventas!A75,Asesores!$A$2:$C$12,2,FALSE)</f>
        <v>Gilberto Hurtado</v>
      </c>
    </row>
    <row r="76" spans="1:5" ht="13.5" x14ac:dyDescent="0.25">
      <c r="A76" s="9">
        <v>1373</v>
      </c>
      <c r="B76" s="2" t="s">
        <v>24</v>
      </c>
      <c r="C76" s="15">
        <v>45058</v>
      </c>
      <c r="D76" s="12">
        <v>18252231</v>
      </c>
      <c r="E76" t="str">
        <f>VLOOKUP(Ventas!A76,Asesores!$A$2:$C$12,2,FALSE)</f>
        <v>Beatriz Osorio</v>
      </c>
    </row>
    <row r="77" spans="1:5" ht="13.5" x14ac:dyDescent="0.25">
      <c r="A77" s="9">
        <v>1060</v>
      </c>
      <c r="B77" s="2" t="s">
        <v>24</v>
      </c>
      <c r="C77" s="14">
        <v>45290</v>
      </c>
      <c r="D77" s="12">
        <v>13671574</v>
      </c>
      <c r="E77" t="str">
        <f>VLOOKUP(Ventas!A77,Asesores!$A$2:$C$12,2,FALSE)</f>
        <v>Sandra Lopez</v>
      </c>
    </row>
    <row r="78" spans="1:5" ht="13.5" x14ac:dyDescent="0.25">
      <c r="A78" s="9">
        <v>1834</v>
      </c>
      <c r="B78" s="2" t="s">
        <v>21</v>
      </c>
      <c r="C78" s="15">
        <v>44935</v>
      </c>
      <c r="D78" s="12">
        <v>34144219</v>
      </c>
      <c r="E78" t="str">
        <f>VLOOKUP(Ventas!A78,Asesores!$A$2:$C$12,2,FALSE)</f>
        <v>Robert Castaño</v>
      </c>
    </row>
    <row r="79" spans="1:5" ht="13.5" x14ac:dyDescent="0.25">
      <c r="A79" s="9">
        <v>1728</v>
      </c>
      <c r="B79" s="2" t="s">
        <v>24</v>
      </c>
      <c r="C79" s="15">
        <v>45086</v>
      </c>
      <c r="D79" s="12">
        <v>14452481</v>
      </c>
      <c r="E79" t="str">
        <f>VLOOKUP(Ventas!A79,Asesores!$A$2:$C$12,2,FALSE)</f>
        <v>Nicolas Sanchez</v>
      </c>
    </row>
    <row r="80" spans="1:5" ht="13.5" x14ac:dyDescent="0.25">
      <c r="A80" s="9">
        <v>1957</v>
      </c>
      <c r="B80" s="2" t="s">
        <v>22</v>
      </c>
      <c r="C80" s="14">
        <v>45256</v>
      </c>
      <c r="D80" s="12">
        <v>21556901</v>
      </c>
      <c r="E80" t="str">
        <f>VLOOKUP(Ventas!A80,Asesores!$A$2:$C$12,2,FALSE)</f>
        <v>Gilberto Hurtado</v>
      </c>
    </row>
    <row r="81" spans="1:5" ht="13.5" x14ac:dyDescent="0.25">
      <c r="A81" s="9">
        <v>1957</v>
      </c>
      <c r="B81" s="2" t="s">
        <v>23</v>
      </c>
      <c r="C81" s="15">
        <v>45155</v>
      </c>
      <c r="D81" s="12">
        <v>19745520</v>
      </c>
      <c r="E81" t="str">
        <f>VLOOKUP(Ventas!A81,Asesores!$A$2:$C$12,2,FALSE)</f>
        <v>Gilberto Hurtado</v>
      </c>
    </row>
    <row r="82" spans="1:5" ht="13.5" x14ac:dyDescent="0.25">
      <c r="A82" s="9">
        <v>1624</v>
      </c>
      <c r="B82" s="2" t="s">
        <v>21</v>
      </c>
      <c r="C82" s="15">
        <v>44951</v>
      </c>
      <c r="D82" s="12">
        <v>27961550</v>
      </c>
      <c r="E82" t="str">
        <f>VLOOKUP(Ventas!A82,Asesores!$A$2:$C$12,2,FALSE)</f>
        <v>Alejandro Villamil</v>
      </c>
    </row>
    <row r="83" spans="1:5" ht="13.5" x14ac:dyDescent="0.25">
      <c r="A83" s="9">
        <v>1985</v>
      </c>
      <c r="B83" s="2" t="s">
        <v>21</v>
      </c>
      <c r="C83" s="15">
        <v>45262</v>
      </c>
      <c r="D83" s="12">
        <v>30122898</v>
      </c>
      <c r="E83" t="str">
        <f>VLOOKUP(Ventas!A83,Asesores!$A$2:$C$12,2,FALSE)</f>
        <v>Carolina Romero</v>
      </c>
    </row>
    <row r="84" spans="1:5" ht="13.5" x14ac:dyDescent="0.25">
      <c r="A84" s="9">
        <v>1834</v>
      </c>
      <c r="B84" s="2" t="s">
        <v>22</v>
      </c>
      <c r="C84" s="15">
        <v>45001</v>
      </c>
      <c r="D84" s="12">
        <v>14806928</v>
      </c>
      <c r="E84" t="str">
        <f>VLOOKUP(Ventas!A84,Asesores!$A$2:$C$12,2,FALSE)</f>
        <v>Robert Castaño</v>
      </c>
    </row>
    <row r="85" spans="1:5" ht="13.5" x14ac:dyDescent="0.25">
      <c r="A85" s="9">
        <v>1708</v>
      </c>
      <c r="B85" s="2" t="s">
        <v>20</v>
      </c>
      <c r="C85" s="14">
        <v>45276</v>
      </c>
      <c r="D85" s="12">
        <v>13546938</v>
      </c>
      <c r="E85" t="str">
        <f>VLOOKUP(Ventas!A85,Asesores!$A$2:$C$12,2,FALSE)</f>
        <v>Vicky Ortiz</v>
      </c>
    </row>
    <row r="86" spans="1:5" ht="13.5" x14ac:dyDescent="0.25">
      <c r="A86" s="9">
        <v>1957</v>
      </c>
      <c r="B86" s="2" t="s">
        <v>21</v>
      </c>
      <c r="C86" s="15">
        <v>45197</v>
      </c>
      <c r="D86" s="12">
        <v>17563733</v>
      </c>
      <c r="E86" t="str">
        <f>VLOOKUP(Ventas!A86,Asesores!$A$2:$C$12,2,FALSE)</f>
        <v>Gilberto Hurtado</v>
      </c>
    </row>
    <row r="87" spans="1:5" ht="13.5" x14ac:dyDescent="0.25">
      <c r="A87" s="9">
        <v>1957</v>
      </c>
      <c r="B87" s="2" t="s">
        <v>24</v>
      </c>
      <c r="C87" s="14">
        <v>45217</v>
      </c>
      <c r="D87" s="12">
        <v>27691588</v>
      </c>
      <c r="E87" t="str">
        <f>VLOOKUP(Ventas!A87,Asesores!$A$2:$C$12,2,FALSE)</f>
        <v>Gilberto Hurtado</v>
      </c>
    </row>
    <row r="88" spans="1:5" ht="13.5" x14ac:dyDescent="0.25">
      <c r="A88" s="9">
        <v>1834</v>
      </c>
      <c r="B88" s="2" t="s">
        <v>21</v>
      </c>
      <c r="C88" s="14">
        <v>45270</v>
      </c>
      <c r="D88" s="12">
        <v>26142162</v>
      </c>
      <c r="E88" t="str">
        <f>VLOOKUP(Ventas!A88,Asesores!$A$2:$C$12,2,FALSE)</f>
        <v>Robert Castaño</v>
      </c>
    </row>
    <row r="89" spans="1:5" ht="13.5" x14ac:dyDescent="0.25">
      <c r="A89" s="9">
        <v>1728</v>
      </c>
      <c r="B89" s="2" t="s">
        <v>24</v>
      </c>
      <c r="C89" s="15">
        <v>45119</v>
      </c>
      <c r="D89" s="12">
        <v>59874276</v>
      </c>
      <c r="E89" t="str">
        <f>VLOOKUP(Ventas!A89,Asesores!$A$2:$C$12,2,FALSE)</f>
        <v>Nicolas Sanchez</v>
      </c>
    </row>
    <row r="90" spans="1:5" ht="13.5" x14ac:dyDescent="0.25">
      <c r="A90" s="9">
        <v>1060</v>
      </c>
      <c r="B90" s="2" t="s">
        <v>20</v>
      </c>
      <c r="C90" s="15">
        <v>45103</v>
      </c>
      <c r="D90" s="12">
        <v>30023143</v>
      </c>
      <c r="E90" t="str">
        <f>VLOOKUP(Ventas!A90,Asesores!$A$2:$C$12,2,FALSE)</f>
        <v>Sandra Lopez</v>
      </c>
    </row>
    <row r="91" spans="1:5" ht="13.5" x14ac:dyDescent="0.25">
      <c r="A91" s="9">
        <v>1373</v>
      </c>
      <c r="B91" s="2" t="s">
        <v>20</v>
      </c>
      <c r="C91" s="15">
        <v>45057</v>
      </c>
      <c r="D91" s="12">
        <v>41564853</v>
      </c>
      <c r="E91" t="str">
        <f>VLOOKUP(Ventas!A91,Asesores!$A$2:$C$12,2,FALSE)</f>
        <v>Beatriz Osorio</v>
      </c>
    </row>
    <row r="92" spans="1:5" ht="13.5" x14ac:dyDescent="0.25">
      <c r="A92" s="9">
        <v>1957</v>
      </c>
      <c r="B92" s="2" t="s">
        <v>24</v>
      </c>
      <c r="C92" s="15">
        <v>45158</v>
      </c>
      <c r="D92" s="12">
        <v>18820847</v>
      </c>
      <c r="E92" t="str">
        <f>VLOOKUP(Ventas!A92,Asesores!$A$2:$C$12,2,FALSE)</f>
        <v>Gilberto Hurtado</v>
      </c>
    </row>
    <row r="93" spans="1:5" ht="13.5" x14ac:dyDescent="0.25">
      <c r="A93" s="9">
        <v>1708</v>
      </c>
      <c r="B93" s="2" t="s">
        <v>23</v>
      </c>
      <c r="C93" s="15">
        <v>45205</v>
      </c>
      <c r="D93" s="12">
        <v>42984305</v>
      </c>
      <c r="E93" t="str">
        <f>VLOOKUP(Ventas!A93,Asesores!$A$2:$C$12,2,FALSE)</f>
        <v>Vicky Ortiz</v>
      </c>
    </row>
    <row r="94" spans="1:5" ht="13.5" x14ac:dyDescent="0.25">
      <c r="A94" s="9">
        <v>1957</v>
      </c>
      <c r="B94" s="2" t="s">
        <v>24</v>
      </c>
      <c r="C94" s="15">
        <v>45065</v>
      </c>
      <c r="D94" s="12">
        <v>40534649</v>
      </c>
      <c r="E94" t="str">
        <f>VLOOKUP(Ventas!A94,Asesores!$A$2:$C$12,2,FALSE)</f>
        <v>Gilberto Hurtado</v>
      </c>
    </row>
    <row r="95" spans="1:5" ht="13.5" x14ac:dyDescent="0.25">
      <c r="A95" s="9">
        <v>1624</v>
      </c>
      <c r="B95" s="2" t="s">
        <v>22</v>
      </c>
      <c r="C95" s="15">
        <v>45062</v>
      </c>
      <c r="D95" s="12">
        <v>50071103</v>
      </c>
      <c r="E95" t="str">
        <f>VLOOKUP(Ventas!A95,Asesores!$A$2:$C$12,2,FALSE)</f>
        <v>Alejandro Villamil</v>
      </c>
    </row>
    <row r="96" spans="1:5" ht="13.5" x14ac:dyDescent="0.25">
      <c r="A96" s="9">
        <v>1957</v>
      </c>
      <c r="B96" s="2" t="s">
        <v>24</v>
      </c>
      <c r="C96" s="15">
        <v>45022</v>
      </c>
      <c r="D96" s="12">
        <v>18386665</v>
      </c>
      <c r="E96" t="str">
        <f>VLOOKUP(Ventas!A96,Asesores!$A$2:$C$12,2,FALSE)</f>
        <v>Gilberto Hurtado</v>
      </c>
    </row>
    <row r="97" spans="1:5" ht="13.5" x14ac:dyDescent="0.25">
      <c r="A97" s="9">
        <v>1373</v>
      </c>
      <c r="B97" s="2" t="s">
        <v>24</v>
      </c>
      <c r="C97" s="15">
        <v>44950</v>
      </c>
      <c r="D97" s="12">
        <v>14665051</v>
      </c>
      <c r="E97" t="str">
        <f>VLOOKUP(Ventas!A97,Asesores!$A$2:$C$12,2,FALSE)</f>
        <v>Beatriz Osorio</v>
      </c>
    </row>
    <row r="98" spans="1:5" ht="13.5" x14ac:dyDescent="0.25">
      <c r="A98" s="9">
        <v>1373</v>
      </c>
      <c r="B98" s="2" t="s">
        <v>21</v>
      </c>
      <c r="C98" s="15">
        <v>45199</v>
      </c>
      <c r="D98" s="12">
        <v>45380485</v>
      </c>
      <c r="E98" t="str">
        <f>VLOOKUP(Ventas!A98,Asesores!$A$2:$C$12,2,FALSE)</f>
        <v>Beatriz Osorio</v>
      </c>
    </row>
    <row r="99" spans="1:5" ht="13.5" x14ac:dyDescent="0.25">
      <c r="A99" s="9">
        <v>1710</v>
      </c>
      <c r="B99" s="2" t="s">
        <v>21</v>
      </c>
      <c r="C99" s="15">
        <v>45008</v>
      </c>
      <c r="D99" s="12">
        <v>53734454</v>
      </c>
      <c r="E99" t="str">
        <f>VLOOKUP(Ventas!A99,Asesores!$A$2:$C$12,2,FALSE)</f>
        <v>Santiago Perez</v>
      </c>
    </row>
    <row r="100" spans="1:5" ht="13.5" x14ac:dyDescent="0.25">
      <c r="A100" s="9">
        <v>1957</v>
      </c>
      <c r="B100" s="2" t="s">
        <v>20</v>
      </c>
      <c r="C100" s="15">
        <v>45029</v>
      </c>
      <c r="D100" s="12">
        <v>34376909</v>
      </c>
      <c r="E100" t="str">
        <f>VLOOKUP(Ventas!A100,Asesores!$A$2:$C$12,2,FALSE)</f>
        <v>Gilberto Hurtado</v>
      </c>
    </row>
    <row r="101" spans="1:5" ht="13.5" x14ac:dyDescent="0.25">
      <c r="A101" s="9">
        <v>1373</v>
      </c>
      <c r="B101" s="2" t="s">
        <v>25</v>
      </c>
      <c r="C101" s="15">
        <v>45127</v>
      </c>
      <c r="D101" s="12">
        <v>51303613</v>
      </c>
      <c r="E101" t="str">
        <f>VLOOKUP(Ventas!A101,Asesores!$A$2:$C$12,2,FALSE)</f>
        <v>Beatriz Osorio</v>
      </c>
    </row>
    <row r="102" spans="1:5" ht="13.5" x14ac:dyDescent="0.25">
      <c r="A102" s="9">
        <v>1624</v>
      </c>
      <c r="B102" s="2" t="s">
        <v>24</v>
      </c>
      <c r="C102" s="15">
        <v>45117</v>
      </c>
      <c r="D102" s="12">
        <v>47132763</v>
      </c>
      <c r="E102" t="str">
        <f>VLOOKUP(Ventas!A102,Asesores!$A$2:$C$12,2,FALSE)</f>
        <v>Alejandro Villamil</v>
      </c>
    </row>
    <row r="103" spans="1:5" ht="13.5" x14ac:dyDescent="0.25">
      <c r="A103" s="9">
        <v>1708</v>
      </c>
      <c r="B103" s="2" t="s">
        <v>21</v>
      </c>
      <c r="C103" s="14">
        <v>45209</v>
      </c>
      <c r="D103" s="12">
        <v>48795982</v>
      </c>
      <c r="E103" t="str">
        <f>VLOOKUP(Ventas!A103,Asesores!$A$2:$C$12,2,FALSE)</f>
        <v>Vicky Ortiz</v>
      </c>
    </row>
    <row r="104" spans="1:5" ht="13.5" x14ac:dyDescent="0.25">
      <c r="A104" s="9">
        <v>1710</v>
      </c>
      <c r="B104" s="2" t="s">
        <v>21</v>
      </c>
      <c r="C104" s="15">
        <v>44939</v>
      </c>
      <c r="D104" s="12">
        <v>39069717</v>
      </c>
      <c r="E104" t="str">
        <f>VLOOKUP(Ventas!A104,Asesores!$A$2:$C$12,2,FALSE)</f>
        <v>Santiago Perez</v>
      </c>
    </row>
    <row r="105" spans="1:5" ht="13.5" x14ac:dyDescent="0.25">
      <c r="A105" s="9">
        <v>1373</v>
      </c>
      <c r="B105" s="2" t="s">
        <v>24</v>
      </c>
      <c r="C105" s="14">
        <v>45286</v>
      </c>
      <c r="D105" s="12">
        <v>37325016</v>
      </c>
      <c r="E105" t="str">
        <f>VLOOKUP(Ventas!A105,Asesores!$A$2:$C$12,2,FALSE)</f>
        <v>Beatriz Osorio</v>
      </c>
    </row>
    <row r="106" spans="1:5" ht="13.5" x14ac:dyDescent="0.25">
      <c r="A106" s="9">
        <v>1728</v>
      </c>
      <c r="B106" s="2" t="s">
        <v>24</v>
      </c>
      <c r="C106" s="15">
        <v>45083</v>
      </c>
      <c r="D106" s="12">
        <v>27141548</v>
      </c>
      <c r="E106" t="str">
        <f>VLOOKUP(Ventas!A106,Asesores!$A$2:$C$12,2,FALSE)</f>
        <v>Nicolas Sanchez</v>
      </c>
    </row>
    <row r="107" spans="1:5" ht="13.5" x14ac:dyDescent="0.25">
      <c r="A107" s="9">
        <v>1373</v>
      </c>
      <c r="B107" s="2" t="s">
        <v>24</v>
      </c>
      <c r="C107" s="15">
        <v>45153</v>
      </c>
      <c r="D107" s="12">
        <v>13860009</v>
      </c>
      <c r="E107" t="str">
        <f>VLOOKUP(Ventas!A107,Asesores!$A$2:$C$12,2,FALSE)</f>
        <v>Beatriz Osorio</v>
      </c>
    </row>
    <row r="108" spans="1:5" ht="13.5" x14ac:dyDescent="0.25">
      <c r="A108" s="9">
        <v>1373</v>
      </c>
      <c r="B108" s="2" t="s">
        <v>21</v>
      </c>
      <c r="C108" s="15">
        <v>45171</v>
      </c>
      <c r="D108" s="12">
        <v>57785914</v>
      </c>
      <c r="E108" t="str">
        <f>VLOOKUP(Ventas!A108,Asesores!$A$2:$C$12,2,FALSE)</f>
        <v>Beatriz Osorio</v>
      </c>
    </row>
    <row r="109" spans="1:5" ht="13.5" x14ac:dyDescent="0.25">
      <c r="A109" s="9">
        <v>1957</v>
      </c>
      <c r="B109" s="2" t="s">
        <v>24</v>
      </c>
      <c r="C109" s="14">
        <v>45220</v>
      </c>
      <c r="D109" s="12">
        <v>64683234</v>
      </c>
      <c r="E109" t="str">
        <f>VLOOKUP(Ventas!A109,Asesores!$A$2:$C$12,2,FALSE)</f>
        <v>Gilberto Hurtado</v>
      </c>
    </row>
    <row r="110" spans="1:5" ht="13.5" x14ac:dyDescent="0.25">
      <c r="A110" s="9">
        <v>1985</v>
      </c>
      <c r="B110" s="2" t="s">
        <v>20</v>
      </c>
      <c r="C110" s="15">
        <v>44949</v>
      </c>
      <c r="D110" s="12">
        <v>59925268</v>
      </c>
      <c r="E110" t="str">
        <f>VLOOKUP(Ventas!A110,Asesores!$A$2:$C$12,2,FALSE)</f>
        <v>Carolina Romero</v>
      </c>
    </row>
    <row r="111" spans="1:5" ht="13.5" x14ac:dyDescent="0.25">
      <c r="A111" s="9">
        <v>1957</v>
      </c>
      <c r="B111" s="2" t="s">
        <v>25</v>
      </c>
      <c r="C111" s="14">
        <v>45280</v>
      </c>
      <c r="D111" s="12">
        <v>22718952</v>
      </c>
      <c r="E111" t="str">
        <f>VLOOKUP(Ventas!A111,Asesores!$A$2:$C$12,2,FALSE)</f>
        <v>Gilberto Hurtado</v>
      </c>
    </row>
    <row r="112" spans="1:5" ht="13.5" x14ac:dyDescent="0.25">
      <c r="A112" s="9">
        <v>1060</v>
      </c>
      <c r="B112" s="2" t="s">
        <v>20</v>
      </c>
      <c r="C112" s="15">
        <v>45128</v>
      </c>
      <c r="D112" s="12">
        <v>67522987</v>
      </c>
      <c r="E112" t="str">
        <f>VLOOKUP(Ventas!A112,Asesores!$A$2:$C$12,2,FALSE)</f>
        <v>Sandra Lopez</v>
      </c>
    </row>
    <row r="113" spans="1:5" ht="13.5" x14ac:dyDescent="0.25">
      <c r="A113" s="9">
        <v>1060</v>
      </c>
      <c r="B113" s="2" t="s">
        <v>23</v>
      </c>
      <c r="C113" s="14">
        <v>45216</v>
      </c>
      <c r="D113" s="12">
        <v>22741137</v>
      </c>
      <c r="E113" t="str">
        <f>VLOOKUP(Ventas!A113,Asesores!$A$2:$C$12,2,FALSE)</f>
        <v>Sandra Lopez</v>
      </c>
    </row>
    <row r="114" spans="1:5" ht="13.5" x14ac:dyDescent="0.25">
      <c r="A114" s="9">
        <v>1957</v>
      </c>
      <c r="B114" s="2" t="s">
        <v>22</v>
      </c>
      <c r="C114" s="15">
        <v>45014</v>
      </c>
      <c r="D114" s="12">
        <v>36786628</v>
      </c>
      <c r="E114" t="str">
        <f>VLOOKUP(Ventas!A114,Asesores!$A$2:$C$12,2,FALSE)</f>
        <v>Gilberto Hurtado</v>
      </c>
    </row>
    <row r="115" spans="1:5" ht="13.5" x14ac:dyDescent="0.25">
      <c r="A115" s="9">
        <v>1957</v>
      </c>
      <c r="B115" s="2" t="s">
        <v>20</v>
      </c>
      <c r="C115" s="15">
        <v>45018</v>
      </c>
      <c r="D115" s="12">
        <v>18389736</v>
      </c>
      <c r="E115" t="str">
        <f>VLOOKUP(Ventas!A115,Asesores!$A$2:$C$12,2,FALSE)</f>
        <v>Gilberto Hurtado</v>
      </c>
    </row>
    <row r="116" spans="1:5" ht="13.5" x14ac:dyDescent="0.25">
      <c r="A116" s="9">
        <v>1834</v>
      </c>
      <c r="B116" s="2" t="s">
        <v>22</v>
      </c>
      <c r="C116" s="14">
        <v>45227</v>
      </c>
      <c r="D116" s="12">
        <v>27055471</v>
      </c>
      <c r="E116" t="str">
        <f>VLOOKUP(Ventas!A116,Asesores!$A$2:$C$12,2,FALSE)</f>
        <v>Robert Castaño</v>
      </c>
    </row>
    <row r="117" spans="1:5" ht="13.5" x14ac:dyDescent="0.25">
      <c r="A117" s="9">
        <v>1728</v>
      </c>
      <c r="B117" s="2" t="s">
        <v>24</v>
      </c>
      <c r="C117" s="15">
        <v>45012</v>
      </c>
      <c r="D117" s="12">
        <v>62709722</v>
      </c>
      <c r="E117" t="str">
        <f>VLOOKUP(Ventas!A117,Asesores!$A$2:$C$12,2,FALSE)</f>
        <v>Nicolas Sanchez</v>
      </c>
    </row>
    <row r="118" spans="1:5" ht="13.5" x14ac:dyDescent="0.25">
      <c r="A118" s="9">
        <v>1373</v>
      </c>
      <c r="B118" s="2" t="s">
        <v>20</v>
      </c>
      <c r="C118" s="15">
        <v>45068</v>
      </c>
      <c r="D118" s="12">
        <v>66615220</v>
      </c>
      <c r="E118" t="str">
        <f>VLOOKUP(Ventas!A118,Asesores!$A$2:$C$12,2,FALSE)</f>
        <v>Beatriz Osorio</v>
      </c>
    </row>
    <row r="119" spans="1:5" ht="13.5" x14ac:dyDescent="0.25">
      <c r="A119" s="9">
        <v>1624</v>
      </c>
      <c r="B119" s="2" t="s">
        <v>25</v>
      </c>
      <c r="C119" s="15">
        <v>44991</v>
      </c>
      <c r="D119" s="12">
        <v>15123765</v>
      </c>
      <c r="E119" t="str">
        <f>VLOOKUP(Ventas!A119,Asesores!$A$2:$C$12,2,FALSE)</f>
        <v>Alejandro Villamil</v>
      </c>
    </row>
    <row r="120" spans="1:5" ht="13.5" x14ac:dyDescent="0.25">
      <c r="A120" s="9">
        <v>1957</v>
      </c>
      <c r="B120" s="2" t="s">
        <v>21</v>
      </c>
      <c r="C120" s="14">
        <v>45255</v>
      </c>
      <c r="D120" s="12">
        <v>66197513</v>
      </c>
      <c r="E120" t="str">
        <f>VLOOKUP(Ventas!A120,Asesores!$A$2:$C$12,2,FALSE)</f>
        <v>Gilberto Hurtado</v>
      </c>
    </row>
    <row r="121" spans="1:5" ht="13.5" x14ac:dyDescent="0.25">
      <c r="A121" s="9">
        <v>1957</v>
      </c>
      <c r="B121" s="2" t="s">
        <v>20</v>
      </c>
      <c r="C121" s="15">
        <v>45058</v>
      </c>
      <c r="D121" s="12">
        <v>20542380</v>
      </c>
      <c r="E121" t="str">
        <f>VLOOKUP(Ventas!A121,Asesores!$A$2:$C$12,2,FALSE)</f>
        <v>Gilberto Hurtado</v>
      </c>
    </row>
    <row r="122" spans="1:5" ht="13.5" x14ac:dyDescent="0.25">
      <c r="A122" s="9">
        <v>1957</v>
      </c>
      <c r="B122" s="2" t="s">
        <v>23</v>
      </c>
      <c r="C122" s="15">
        <v>44947</v>
      </c>
      <c r="D122" s="12">
        <v>23229039</v>
      </c>
      <c r="E122" t="str">
        <f>VLOOKUP(Ventas!A122,Asesores!$A$2:$C$12,2,FALSE)</f>
        <v>Gilberto Hurtado</v>
      </c>
    </row>
    <row r="123" spans="1:5" ht="13.5" x14ac:dyDescent="0.25">
      <c r="A123" s="9">
        <v>1708</v>
      </c>
      <c r="B123" s="2" t="s">
        <v>23</v>
      </c>
      <c r="C123" s="15">
        <v>45113</v>
      </c>
      <c r="D123" s="12">
        <v>41593766</v>
      </c>
      <c r="E123" t="str">
        <f>VLOOKUP(Ventas!A123,Asesores!$A$2:$C$12,2,FALSE)</f>
        <v>Vicky Ortiz</v>
      </c>
    </row>
    <row r="124" spans="1:5" ht="13.5" x14ac:dyDescent="0.25">
      <c r="A124" s="9">
        <v>1957</v>
      </c>
      <c r="B124" s="2" t="s">
        <v>22</v>
      </c>
      <c r="C124" s="15">
        <v>45008</v>
      </c>
      <c r="D124" s="12">
        <v>41253219</v>
      </c>
      <c r="E124" t="str">
        <f>VLOOKUP(Ventas!A124,Asesores!$A$2:$C$12,2,FALSE)</f>
        <v>Gilberto Hurtado</v>
      </c>
    </row>
    <row r="125" spans="1:5" ht="13.5" x14ac:dyDescent="0.25">
      <c r="A125" s="9">
        <v>1834</v>
      </c>
      <c r="B125" s="2" t="s">
        <v>22</v>
      </c>
      <c r="C125" s="14">
        <v>45254</v>
      </c>
      <c r="D125" s="12">
        <v>10468482</v>
      </c>
      <c r="E125" t="str">
        <f>VLOOKUP(Ventas!A125,Asesores!$A$2:$C$12,2,FALSE)</f>
        <v>Robert Castaño</v>
      </c>
    </row>
    <row r="126" spans="1:5" ht="13.5" x14ac:dyDescent="0.25">
      <c r="A126" s="9">
        <v>1957</v>
      </c>
      <c r="B126" s="2" t="s">
        <v>20</v>
      </c>
      <c r="C126" s="14">
        <v>45245</v>
      </c>
      <c r="D126" s="12">
        <v>15001345</v>
      </c>
      <c r="E126" t="str">
        <f>VLOOKUP(Ventas!A126,Asesores!$A$2:$C$12,2,FALSE)</f>
        <v>Gilberto Hurtado</v>
      </c>
    </row>
    <row r="127" spans="1:5" ht="13.5" x14ac:dyDescent="0.25">
      <c r="A127" s="9">
        <v>1834</v>
      </c>
      <c r="B127" s="2" t="s">
        <v>22</v>
      </c>
      <c r="C127" s="15">
        <v>44980</v>
      </c>
      <c r="D127" s="12">
        <v>59958377</v>
      </c>
      <c r="E127" t="str">
        <f>VLOOKUP(Ventas!A127,Asesores!$A$2:$C$12,2,FALSE)</f>
        <v>Robert Castaño</v>
      </c>
    </row>
    <row r="128" spans="1:5" ht="13.5" x14ac:dyDescent="0.25">
      <c r="A128" s="9">
        <v>1957</v>
      </c>
      <c r="B128" s="2" t="s">
        <v>24</v>
      </c>
      <c r="C128" s="14">
        <v>45284</v>
      </c>
      <c r="D128" s="12">
        <v>21461840</v>
      </c>
      <c r="E128" t="str">
        <f>VLOOKUP(Ventas!A128,Asesores!$A$2:$C$12,2,FALSE)</f>
        <v>Gilberto Hurtado</v>
      </c>
    </row>
    <row r="129" spans="1:5" ht="13.5" x14ac:dyDescent="0.25">
      <c r="A129" s="9">
        <v>1373</v>
      </c>
      <c r="B129" s="2" t="s">
        <v>22</v>
      </c>
      <c r="C129" s="15">
        <v>45183</v>
      </c>
      <c r="D129" s="12">
        <v>22608808</v>
      </c>
      <c r="E129" t="str">
        <f>VLOOKUP(Ventas!A129,Asesores!$A$2:$C$12,2,FALSE)</f>
        <v>Beatriz Osorio</v>
      </c>
    </row>
    <row r="130" spans="1:5" ht="13.5" x14ac:dyDescent="0.25">
      <c r="A130" s="9">
        <v>1060</v>
      </c>
      <c r="B130" s="2" t="s">
        <v>20</v>
      </c>
      <c r="C130" s="15">
        <v>45042</v>
      </c>
      <c r="D130" s="12">
        <v>25933795</v>
      </c>
      <c r="E130" t="str">
        <f>VLOOKUP(Ventas!A130,Asesores!$A$2:$C$12,2,FALSE)</f>
        <v>Sandra Lopez</v>
      </c>
    </row>
    <row r="131" spans="1:5" ht="13.5" x14ac:dyDescent="0.25">
      <c r="A131" s="9">
        <v>1373</v>
      </c>
      <c r="B131" s="2" t="s">
        <v>24</v>
      </c>
      <c r="C131" s="15">
        <v>45022</v>
      </c>
      <c r="D131" s="12">
        <v>61197370</v>
      </c>
      <c r="E131" t="str">
        <f>VLOOKUP(Ventas!A131,Asesores!$A$2:$C$12,2,FALSE)</f>
        <v>Beatriz Osorio</v>
      </c>
    </row>
    <row r="132" spans="1:5" ht="13.5" x14ac:dyDescent="0.25">
      <c r="A132" s="9">
        <v>1834</v>
      </c>
      <c r="B132" s="2" t="s">
        <v>21</v>
      </c>
      <c r="C132" s="15">
        <v>45011</v>
      </c>
      <c r="D132" s="12">
        <v>37964968</v>
      </c>
      <c r="E132" t="str">
        <f>VLOOKUP(Ventas!A132,Asesores!$A$2:$C$12,2,FALSE)</f>
        <v>Robert Castaño</v>
      </c>
    </row>
    <row r="133" spans="1:5" ht="13.5" x14ac:dyDescent="0.25">
      <c r="A133" s="9">
        <v>1957</v>
      </c>
      <c r="B133" s="2" t="s">
        <v>24</v>
      </c>
      <c r="C133" s="14">
        <v>45227</v>
      </c>
      <c r="D133" s="12">
        <v>56493753</v>
      </c>
      <c r="E133" t="str">
        <f>VLOOKUP(Ventas!A133,Asesores!$A$2:$C$12,2,FALSE)</f>
        <v>Gilberto Hurtado</v>
      </c>
    </row>
    <row r="134" spans="1:5" ht="13.5" x14ac:dyDescent="0.25">
      <c r="A134" s="9">
        <v>1985</v>
      </c>
      <c r="B134" s="2" t="s">
        <v>22</v>
      </c>
      <c r="C134" s="15">
        <v>45093</v>
      </c>
      <c r="D134" s="12">
        <v>45597149</v>
      </c>
      <c r="E134" t="str">
        <f>VLOOKUP(Ventas!A134,Asesores!$A$2:$C$12,2,FALSE)</f>
        <v>Carolina Romero</v>
      </c>
    </row>
    <row r="135" spans="1:5" ht="13.5" x14ac:dyDescent="0.25">
      <c r="A135" s="9">
        <v>1060</v>
      </c>
      <c r="B135" s="2" t="s">
        <v>21</v>
      </c>
      <c r="C135" s="15">
        <v>44997</v>
      </c>
      <c r="D135" s="12">
        <v>34482169</v>
      </c>
      <c r="E135" t="str">
        <f>VLOOKUP(Ventas!A135,Asesores!$A$2:$C$12,2,FALSE)</f>
        <v>Sandra Lopez</v>
      </c>
    </row>
    <row r="136" spans="1:5" ht="13.5" x14ac:dyDescent="0.25">
      <c r="A136" s="9">
        <v>1373</v>
      </c>
      <c r="B136" s="2" t="s">
        <v>21</v>
      </c>
      <c r="C136" s="14">
        <v>45287</v>
      </c>
      <c r="D136" s="12">
        <v>52673576</v>
      </c>
      <c r="E136" t="str">
        <f>VLOOKUP(Ventas!A136,Asesores!$A$2:$C$12,2,FALSE)</f>
        <v>Beatriz Osorio</v>
      </c>
    </row>
    <row r="137" spans="1:5" ht="13.5" x14ac:dyDescent="0.25">
      <c r="A137" s="9">
        <v>1728</v>
      </c>
      <c r="B137" s="2" t="s">
        <v>23</v>
      </c>
      <c r="C137" s="15">
        <v>45186</v>
      </c>
      <c r="D137" s="12">
        <v>23189437</v>
      </c>
      <c r="E137" t="str">
        <f>VLOOKUP(Ventas!A137,Asesores!$A$2:$C$12,2,FALSE)</f>
        <v>Nicolas Sanchez</v>
      </c>
    </row>
    <row r="138" spans="1:5" ht="13.5" x14ac:dyDescent="0.25">
      <c r="A138" s="9">
        <v>1624</v>
      </c>
      <c r="B138" s="2" t="s">
        <v>22</v>
      </c>
      <c r="C138" s="15">
        <v>45161</v>
      </c>
      <c r="D138" s="12">
        <v>63571544</v>
      </c>
      <c r="E138" t="str">
        <f>VLOOKUP(Ventas!A138,Asesores!$A$2:$C$12,2,FALSE)</f>
        <v>Alejandro Villamil</v>
      </c>
    </row>
    <row r="139" spans="1:5" ht="13.5" x14ac:dyDescent="0.25">
      <c r="A139" s="9">
        <v>1728</v>
      </c>
      <c r="B139" s="2" t="s">
        <v>22</v>
      </c>
      <c r="C139" s="15">
        <v>45265</v>
      </c>
      <c r="D139" s="12">
        <v>53269309</v>
      </c>
      <c r="E139" t="str">
        <f>VLOOKUP(Ventas!A139,Asesores!$A$2:$C$12,2,FALSE)</f>
        <v>Nicolas Sanchez</v>
      </c>
    </row>
    <row r="140" spans="1:5" ht="13.5" x14ac:dyDescent="0.25">
      <c r="A140" s="9">
        <v>1708</v>
      </c>
      <c r="B140" s="2" t="s">
        <v>24</v>
      </c>
      <c r="C140" s="15">
        <v>45122</v>
      </c>
      <c r="D140" s="12">
        <v>40964540</v>
      </c>
      <c r="E140" t="str">
        <f>VLOOKUP(Ventas!A140,Asesores!$A$2:$C$12,2,FALSE)</f>
        <v>Vicky Ortiz</v>
      </c>
    </row>
    <row r="141" spans="1:5" ht="13.5" x14ac:dyDescent="0.25">
      <c r="A141" s="9">
        <v>1373</v>
      </c>
      <c r="B141" s="2" t="s">
        <v>24</v>
      </c>
      <c r="C141" s="14">
        <v>45243</v>
      </c>
      <c r="D141" s="12">
        <v>34629792</v>
      </c>
      <c r="E141" t="str">
        <f>VLOOKUP(Ventas!A141,Asesores!$A$2:$C$12,2,FALSE)</f>
        <v>Beatriz Osorio</v>
      </c>
    </row>
    <row r="142" spans="1:5" ht="13.5" x14ac:dyDescent="0.25">
      <c r="A142" s="9">
        <v>1957</v>
      </c>
      <c r="B142" s="2" t="s">
        <v>23</v>
      </c>
      <c r="C142" s="15">
        <v>45156</v>
      </c>
      <c r="D142" s="12">
        <v>14211471</v>
      </c>
      <c r="E142" t="str">
        <f>VLOOKUP(Ventas!A142,Asesores!$A$2:$C$12,2,FALSE)</f>
        <v>Gilberto Hurtado</v>
      </c>
    </row>
    <row r="143" spans="1:5" ht="13.5" x14ac:dyDescent="0.25">
      <c r="A143" s="9">
        <v>1834</v>
      </c>
      <c r="B143" s="2" t="s">
        <v>24</v>
      </c>
      <c r="C143" s="15">
        <v>45135</v>
      </c>
      <c r="D143" s="12">
        <v>30381442</v>
      </c>
      <c r="E143" t="str">
        <f>VLOOKUP(Ventas!A143,Asesores!$A$2:$C$12,2,FALSE)</f>
        <v>Robert Castaño</v>
      </c>
    </row>
    <row r="144" spans="1:5" ht="13.5" x14ac:dyDescent="0.25">
      <c r="A144" s="9">
        <v>1060</v>
      </c>
      <c r="B144" s="2" t="s">
        <v>20</v>
      </c>
      <c r="C144" s="15">
        <v>45195</v>
      </c>
      <c r="D144" s="12">
        <v>43612090</v>
      </c>
      <c r="E144" t="str">
        <f>VLOOKUP(Ventas!A144,Asesores!$A$2:$C$12,2,FALSE)</f>
        <v>Sandra Lopez</v>
      </c>
    </row>
    <row r="145" spans="1:5" ht="13.5" x14ac:dyDescent="0.25">
      <c r="A145" s="9">
        <v>1834</v>
      </c>
      <c r="B145" s="2" t="s">
        <v>23</v>
      </c>
      <c r="C145" s="15">
        <v>44965</v>
      </c>
      <c r="D145" s="12">
        <v>54044956</v>
      </c>
      <c r="E145" t="str">
        <f>VLOOKUP(Ventas!A145,Asesores!$A$2:$C$12,2,FALSE)</f>
        <v>Robert Castaño</v>
      </c>
    </row>
    <row r="146" spans="1:5" ht="13.5" x14ac:dyDescent="0.25">
      <c r="A146" s="9">
        <v>1373</v>
      </c>
      <c r="B146" s="2" t="s">
        <v>24</v>
      </c>
      <c r="C146" s="15">
        <v>44983</v>
      </c>
      <c r="D146" s="12">
        <v>56579267</v>
      </c>
      <c r="E146" t="str">
        <f>VLOOKUP(Ventas!A146,Asesores!$A$2:$C$12,2,FALSE)</f>
        <v>Beatriz Osorio</v>
      </c>
    </row>
    <row r="147" spans="1:5" ht="13.5" x14ac:dyDescent="0.25">
      <c r="A147" s="9">
        <v>1957</v>
      </c>
      <c r="B147" s="2" t="s">
        <v>22</v>
      </c>
      <c r="C147" s="15">
        <v>45188</v>
      </c>
      <c r="D147" s="12">
        <v>35589949</v>
      </c>
      <c r="E147" t="str">
        <f>VLOOKUP(Ventas!A147,Asesores!$A$2:$C$12,2,FALSE)</f>
        <v>Gilberto Hurtado</v>
      </c>
    </row>
    <row r="148" spans="1:5" ht="13.5" x14ac:dyDescent="0.25">
      <c r="A148" s="9">
        <v>1624</v>
      </c>
      <c r="B148" s="2" t="s">
        <v>20</v>
      </c>
      <c r="C148" s="14">
        <v>45284</v>
      </c>
      <c r="D148" s="12">
        <v>31753451</v>
      </c>
      <c r="E148" t="str">
        <f>VLOOKUP(Ventas!A148,Asesores!$A$2:$C$12,2,FALSE)</f>
        <v>Alejandro Villamil</v>
      </c>
    </row>
    <row r="149" spans="1:5" ht="13.5" x14ac:dyDescent="0.25">
      <c r="A149" s="9">
        <v>1060</v>
      </c>
      <c r="B149" s="2" t="s">
        <v>20</v>
      </c>
      <c r="C149" s="15">
        <v>45091</v>
      </c>
      <c r="D149" s="12">
        <v>50395543</v>
      </c>
      <c r="E149" t="str">
        <f>VLOOKUP(Ventas!A149,Asesores!$A$2:$C$12,2,FALSE)</f>
        <v>Sandra Lopez</v>
      </c>
    </row>
    <row r="150" spans="1:5" ht="13.5" x14ac:dyDescent="0.25">
      <c r="A150" s="9">
        <v>1373</v>
      </c>
      <c r="B150" s="2" t="s">
        <v>21</v>
      </c>
      <c r="C150" s="15">
        <v>44939</v>
      </c>
      <c r="D150" s="12">
        <v>69803402</v>
      </c>
      <c r="E150" t="str">
        <f>VLOOKUP(Ventas!A150,Asesores!$A$2:$C$12,2,FALSE)</f>
        <v>Beatriz Osorio</v>
      </c>
    </row>
    <row r="151" spans="1:5" ht="13.5" x14ac:dyDescent="0.25">
      <c r="A151" s="9">
        <v>1708</v>
      </c>
      <c r="B151" s="2" t="s">
        <v>20</v>
      </c>
      <c r="C151" s="15">
        <v>45074</v>
      </c>
      <c r="D151" s="12">
        <v>23505430</v>
      </c>
      <c r="E151" t="str">
        <f>VLOOKUP(Ventas!A151,Asesores!$A$2:$C$12,2,FALSE)</f>
        <v>Vicky Ortiz</v>
      </c>
    </row>
    <row r="152" spans="1:5" ht="13.5" x14ac:dyDescent="0.25">
      <c r="A152" s="9">
        <v>1957</v>
      </c>
      <c r="B152" s="2" t="s">
        <v>23</v>
      </c>
      <c r="C152" s="15">
        <v>45179</v>
      </c>
      <c r="D152" s="12">
        <v>49310879</v>
      </c>
      <c r="E152" t="str">
        <f>VLOOKUP(Ventas!A152,Asesores!$A$2:$C$12,2,FALSE)</f>
        <v>Gilberto Hurtado</v>
      </c>
    </row>
    <row r="153" spans="1:5" ht="13.5" x14ac:dyDescent="0.25">
      <c r="A153" s="9">
        <v>1708</v>
      </c>
      <c r="B153" s="2" t="s">
        <v>21</v>
      </c>
      <c r="C153" s="14">
        <v>45271</v>
      </c>
      <c r="D153" s="12">
        <v>23283097</v>
      </c>
      <c r="E153" t="str">
        <f>VLOOKUP(Ventas!A153,Asesores!$A$2:$C$12,2,FALSE)</f>
        <v>Vicky Ortiz</v>
      </c>
    </row>
    <row r="154" spans="1:5" ht="13.5" x14ac:dyDescent="0.25">
      <c r="A154" s="9">
        <v>1710</v>
      </c>
      <c r="B154" s="2" t="s">
        <v>20</v>
      </c>
      <c r="C154" s="15">
        <v>45194</v>
      </c>
      <c r="D154" s="12">
        <v>47733252</v>
      </c>
      <c r="E154" t="str">
        <f>VLOOKUP(Ventas!A154,Asesores!$A$2:$C$12,2,FALSE)</f>
        <v>Santiago Perez</v>
      </c>
    </row>
    <row r="155" spans="1:5" ht="13.5" x14ac:dyDescent="0.25">
      <c r="A155" s="9">
        <v>1373</v>
      </c>
      <c r="B155" s="2" t="s">
        <v>23</v>
      </c>
      <c r="C155" s="15">
        <v>45030</v>
      </c>
      <c r="D155" s="12">
        <v>19170864</v>
      </c>
      <c r="E155" t="str">
        <f>VLOOKUP(Ventas!A155,Asesores!$A$2:$C$12,2,FALSE)</f>
        <v>Beatriz Osorio</v>
      </c>
    </row>
    <row r="156" spans="1:5" ht="13.5" x14ac:dyDescent="0.25">
      <c r="A156" s="9">
        <v>1834</v>
      </c>
      <c r="B156" s="2" t="s">
        <v>23</v>
      </c>
      <c r="C156" s="15">
        <v>45039</v>
      </c>
      <c r="D156" s="12">
        <v>61927134</v>
      </c>
      <c r="E156" t="str">
        <f>VLOOKUP(Ventas!A156,Asesores!$A$2:$C$12,2,FALSE)</f>
        <v>Robert Castaño</v>
      </c>
    </row>
    <row r="157" spans="1:5" ht="13.5" x14ac:dyDescent="0.25">
      <c r="A157" s="9">
        <v>1834</v>
      </c>
      <c r="B157" s="2" t="s">
        <v>22</v>
      </c>
      <c r="C157" s="15">
        <v>45232</v>
      </c>
      <c r="D157" s="12">
        <v>18157405</v>
      </c>
      <c r="E157" t="str">
        <f>VLOOKUP(Ventas!A157,Asesores!$A$2:$C$12,2,FALSE)</f>
        <v>Robert Castaño</v>
      </c>
    </row>
    <row r="158" spans="1:5" ht="13.5" x14ac:dyDescent="0.25">
      <c r="A158" s="9">
        <v>1834</v>
      </c>
      <c r="B158" s="2" t="s">
        <v>21</v>
      </c>
      <c r="C158" s="15">
        <v>45190</v>
      </c>
      <c r="D158" s="12">
        <v>60801746</v>
      </c>
      <c r="E158" t="str">
        <f>VLOOKUP(Ventas!A158,Asesores!$A$2:$C$12,2,FALSE)</f>
        <v>Robert Castaño</v>
      </c>
    </row>
    <row r="159" spans="1:5" ht="13.5" x14ac:dyDescent="0.25">
      <c r="A159" s="9">
        <v>1624</v>
      </c>
      <c r="B159" s="2" t="s">
        <v>23</v>
      </c>
      <c r="C159" s="15">
        <v>45060</v>
      </c>
      <c r="D159" s="12">
        <v>25796663</v>
      </c>
      <c r="E159" t="str">
        <f>VLOOKUP(Ventas!A159,Asesores!$A$2:$C$12,2,FALSE)</f>
        <v>Alejandro Villamil</v>
      </c>
    </row>
    <row r="160" spans="1:5" ht="13.5" x14ac:dyDescent="0.25">
      <c r="A160" s="9">
        <v>1708</v>
      </c>
      <c r="B160" s="2" t="s">
        <v>21</v>
      </c>
      <c r="C160" s="15">
        <v>45004</v>
      </c>
      <c r="D160" s="12">
        <v>50936026</v>
      </c>
      <c r="E160" t="str">
        <f>VLOOKUP(Ventas!A160,Asesores!$A$2:$C$12,2,FALSE)</f>
        <v>Vicky Ortiz</v>
      </c>
    </row>
    <row r="161" spans="1:5" ht="13.5" x14ac:dyDescent="0.25">
      <c r="A161" s="9">
        <v>1373</v>
      </c>
      <c r="B161" s="2" t="s">
        <v>21</v>
      </c>
      <c r="C161" s="15">
        <v>45156</v>
      </c>
      <c r="D161" s="12">
        <v>62300346</v>
      </c>
      <c r="E161" t="str">
        <f>VLOOKUP(Ventas!A161,Asesores!$A$2:$C$12,2,FALSE)</f>
        <v>Beatriz Osorio</v>
      </c>
    </row>
    <row r="162" spans="1:5" ht="13.5" x14ac:dyDescent="0.25">
      <c r="A162" s="9">
        <v>1957</v>
      </c>
      <c r="B162" s="2" t="s">
        <v>22</v>
      </c>
      <c r="C162" s="15">
        <v>45151</v>
      </c>
      <c r="D162" s="12">
        <v>46542665</v>
      </c>
      <c r="E162" t="str">
        <f>VLOOKUP(Ventas!A162,Asesores!$A$2:$C$12,2,FALSE)</f>
        <v>Gilberto Hurtado</v>
      </c>
    </row>
    <row r="163" spans="1:5" ht="13.5" x14ac:dyDescent="0.25">
      <c r="A163" s="9">
        <v>1728</v>
      </c>
      <c r="B163" s="2" t="s">
        <v>23</v>
      </c>
      <c r="C163" s="15">
        <v>44954</v>
      </c>
      <c r="D163" s="12">
        <v>17676440</v>
      </c>
      <c r="E163" t="str">
        <f>VLOOKUP(Ventas!A163,Asesores!$A$2:$C$12,2,FALSE)</f>
        <v>Nicolas Sanchez</v>
      </c>
    </row>
    <row r="164" spans="1:5" ht="13.5" x14ac:dyDescent="0.25">
      <c r="A164" s="9">
        <v>1957</v>
      </c>
      <c r="B164" s="2" t="s">
        <v>20</v>
      </c>
      <c r="C164" s="15">
        <v>45071</v>
      </c>
      <c r="D164" s="12">
        <v>31060528</v>
      </c>
      <c r="E164" t="str">
        <f>VLOOKUP(Ventas!A164,Asesores!$A$2:$C$12,2,FALSE)</f>
        <v>Gilberto Hurtado</v>
      </c>
    </row>
    <row r="165" spans="1:5" ht="13.5" x14ac:dyDescent="0.25">
      <c r="A165" s="9">
        <v>1373</v>
      </c>
      <c r="B165" s="2" t="s">
        <v>24</v>
      </c>
      <c r="C165" s="15">
        <v>45079</v>
      </c>
      <c r="D165" s="12">
        <v>31568284</v>
      </c>
      <c r="E165" t="str">
        <f>VLOOKUP(Ventas!A165,Asesores!$A$2:$C$12,2,FALSE)</f>
        <v>Beatriz Osorio</v>
      </c>
    </row>
    <row r="166" spans="1:5" ht="13.5" x14ac:dyDescent="0.25">
      <c r="A166" s="9">
        <v>1834</v>
      </c>
      <c r="B166" s="2" t="s">
        <v>22</v>
      </c>
      <c r="C166" s="15">
        <v>45263</v>
      </c>
      <c r="D166" s="12">
        <v>24777496</v>
      </c>
      <c r="E166" t="str">
        <f>VLOOKUP(Ventas!A166,Asesores!$A$2:$C$12,2,FALSE)</f>
        <v>Robert Castaño</v>
      </c>
    </row>
    <row r="167" spans="1:5" ht="13.5" x14ac:dyDescent="0.25">
      <c r="A167" s="9">
        <v>1373</v>
      </c>
      <c r="B167" s="2" t="s">
        <v>21</v>
      </c>
      <c r="C167" s="15">
        <v>45079</v>
      </c>
      <c r="D167" s="12">
        <v>14129205</v>
      </c>
      <c r="E167" t="str">
        <f>VLOOKUP(Ventas!A167,Asesores!$A$2:$C$12,2,FALSE)</f>
        <v>Beatriz Osorio</v>
      </c>
    </row>
    <row r="168" spans="1:5" ht="13.5" x14ac:dyDescent="0.25">
      <c r="A168" s="9">
        <v>1957</v>
      </c>
      <c r="B168" s="2" t="s">
        <v>23</v>
      </c>
      <c r="C168" s="15">
        <v>45083</v>
      </c>
      <c r="D168" s="12">
        <v>24885091</v>
      </c>
      <c r="E168" t="str">
        <f>VLOOKUP(Ventas!A168,Asesores!$A$2:$C$12,2,FALSE)</f>
        <v>Gilberto Hurtado</v>
      </c>
    </row>
    <row r="169" spans="1:5" ht="13.5" x14ac:dyDescent="0.25">
      <c r="A169" s="9">
        <v>1624</v>
      </c>
      <c r="B169" s="2" t="s">
        <v>22</v>
      </c>
      <c r="C169" s="14">
        <v>45251</v>
      </c>
      <c r="D169" s="12">
        <v>41242288</v>
      </c>
      <c r="E169" t="str">
        <f>VLOOKUP(Ventas!A169,Asesores!$A$2:$C$12,2,FALSE)</f>
        <v>Alejandro Villamil</v>
      </c>
    </row>
    <row r="170" spans="1:5" ht="13.5" x14ac:dyDescent="0.25">
      <c r="A170" s="9">
        <v>1708</v>
      </c>
      <c r="B170" s="2" t="s">
        <v>22</v>
      </c>
      <c r="C170" s="14">
        <v>45258</v>
      </c>
      <c r="D170" s="12">
        <v>32996976</v>
      </c>
      <c r="E170" t="str">
        <f>VLOOKUP(Ventas!A170,Asesores!$A$2:$C$12,2,FALSE)</f>
        <v>Vicky Ortiz</v>
      </c>
    </row>
    <row r="171" spans="1:5" ht="13.5" x14ac:dyDescent="0.25">
      <c r="A171" s="9">
        <v>1060</v>
      </c>
      <c r="B171" s="2" t="s">
        <v>23</v>
      </c>
      <c r="C171" s="15">
        <v>45068</v>
      </c>
      <c r="D171" s="12">
        <v>62740849</v>
      </c>
      <c r="E171" t="str">
        <f>VLOOKUP(Ventas!A171,Asesores!$A$2:$C$12,2,FALSE)</f>
        <v>Sandra Lopez</v>
      </c>
    </row>
    <row r="172" spans="1:5" ht="13.5" x14ac:dyDescent="0.25">
      <c r="A172" s="9">
        <v>1957</v>
      </c>
      <c r="B172" s="2" t="s">
        <v>21</v>
      </c>
      <c r="C172" s="15">
        <v>45051</v>
      </c>
      <c r="D172" s="12">
        <v>54307447</v>
      </c>
      <c r="E172" t="str">
        <f>VLOOKUP(Ventas!A172,Asesores!$A$2:$C$12,2,FALSE)</f>
        <v>Gilberto Hurtado</v>
      </c>
    </row>
    <row r="173" spans="1:5" ht="13.5" x14ac:dyDescent="0.25">
      <c r="A173" s="9">
        <v>1957</v>
      </c>
      <c r="B173" s="2" t="s">
        <v>21</v>
      </c>
      <c r="C173" s="15">
        <v>45022</v>
      </c>
      <c r="D173" s="12">
        <v>30772656</v>
      </c>
      <c r="E173" t="str">
        <f>VLOOKUP(Ventas!A173,Asesores!$A$2:$C$12,2,FALSE)</f>
        <v>Gilberto Hurtado</v>
      </c>
    </row>
    <row r="174" spans="1:5" ht="13.5" x14ac:dyDescent="0.25">
      <c r="A174" s="9">
        <v>1373</v>
      </c>
      <c r="B174" s="2" t="s">
        <v>23</v>
      </c>
      <c r="C174" s="15">
        <v>45167</v>
      </c>
      <c r="D174" s="12">
        <v>58249449</v>
      </c>
      <c r="E174" t="str">
        <f>VLOOKUP(Ventas!A174,Asesores!$A$2:$C$12,2,FALSE)</f>
        <v>Beatriz Osorio</v>
      </c>
    </row>
    <row r="175" spans="1:5" ht="13.5" x14ac:dyDescent="0.25">
      <c r="A175" s="9">
        <v>1373</v>
      </c>
      <c r="B175" s="2" t="s">
        <v>21</v>
      </c>
      <c r="C175" s="15">
        <v>45067</v>
      </c>
      <c r="D175" s="12">
        <v>67765570</v>
      </c>
      <c r="E175" t="str">
        <f>VLOOKUP(Ventas!A175,Asesores!$A$2:$C$12,2,FALSE)</f>
        <v>Beatriz Osorio</v>
      </c>
    </row>
    <row r="176" spans="1:5" ht="13.5" x14ac:dyDescent="0.25">
      <c r="A176" s="9">
        <v>1624</v>
      </c>
      <c r="B176" s="2" t="s">
        <v>21</v>
      </c>
      <c r="C176" s="15">
        <v>45020</v>
      </c>
      <c r="D176" s="12">
        <v>42873953</v>
      </c>
      <c r="E176" t="str">
        <f>VLOOKUP(Ventas!A176,Asesores!$A$2:$C$12,2,FALSE)</f>
        <v>Alejandro Villamil</v>
      </c>
    </row>
    <row r="177" spans="1:5" ht="13.5" x14ac:dyDescent="0.25">
      <c r="A177" s="9">
        <v>1373</v>
      </c>
      <c r="B177" s="2" t="s">
        <v>20</v>
      </c>
      <c r="C177" s="15">
        <v>45028</v>
      </c>
      <c r="D177" s="12">
        <v>36999632</v>
      </c>
      <c r="E177" t="str">
        <f>VLOOKUP(Ventas!A177,Asesores!$A$2:$C$12,2,FALSE)</f>
        <v>Beatriz Osorio</v>
      </c>
    </row>
    <row r="178" spans="1:5" ht="13.5" x14ac:dyDescent="0.25">
      <c r="A178" s="9">
        <v>1624</v>
      </c>
      <c r="B178" s="2" t="s">
        <v>21</v>
      </c>
      <c r="C178" s="15">
        <v>44991</v>
      </c>
      <c r="D178" s="12">
        <v>45988649</v>
      </c>
      <c r="E178" t="str">
        <f>VLOOKUP(Ventas!A178,Asesores!$A$2:$C$12,2,FALSE)</f>
        <v>Alejandro Villamil</v>
      </c>
    </row>
    <row r="179" spans="1:5" ht="13.5" x14ac:dyDescent="0.25">
      <c r="A179" s="9">
        <v>1373</v>
      </c>
      <c r="B179" s="2" t="s">
        <v>25</v>
      </c>
      <c r="C179" s="14">
        <v>45258</v>
      </c>
      <c r="D179" s="12">
        <v>12748585</v>
      </c>
      <c r="E179" t="str">
        <f>VLOOKUP(Ventas!A179,Asesores!$A$2:$C$12,2,FALSE)</f>
        <v>Beatriz Osorio</v>
      </c>
    </row>
    <row r="180" spans="1:5" ht="13.5" x14ac:dyDescent="0.25">
      <c r="A180" s="9">
        <v>1060</v>
      </c>
      <c r="B180" s="2" t="s">
        <v>21</v>
      </c>
      <c r="C180" s="15">
        <v>45205</v>
      </c>
      <c r="D180" s="12">
        <v>54835625</v>
      </c>
      <c r="E180" t="str">
        <f>VLOOKUP(Ventas!A180,Asesores!$A$2:$C$12,2,FALSE)</f>
        <v>Sandra Lopez</v>
      </c>
    </row>
    <row r="181" spans="1:5" ht="13.5" x14ac:dyDescent="0.25">
      <c r="A181" s="9">
        <v>1624</v>
      </c>
      <c r="B181" s="2" t="s">
        <v>24</v>
      </c>
      <c r="C181" s="15">
        <v>44951</v>
      </c>
      <c r="D181" s="12">
        <v>14823328</v>
      </c>
      <c r="E181" t="str">
        <f>VLOOKUP(Ventas!A181,Asesores!$A$2:$C$12,2,FALSE)</f>
        <v>Alejandro Villamil</v>
      </c>
    </row>
    <row r="182" spans="1:5" ht="13.5" x14ac:dyDescent="0.25">
      <c r="A182" s="9">
        <v>1834</v>
      </c>
      <c r="B182" s="2" t="s">
        <v>20</v>
      </c>
      <c r="C182" s="15">
        <v>45194</v>
      </c>
      <c r="D182" s="12">
        <v>38344984</v>
      </c>
      <c r="E182" t="str">
        <f>VLOOKUP(Ventas!A182,Asesores!$A$2:$C$12,2,FALSE)</f>
        <v>Robert Castaño</v>
      </c>
    </row>
    <row r="183" spans="1:5" ht="13.5" x14ac:dyDescent="0.25">
      <c r="A183" s="9">
        <v>1373</v>
      </c>
      <c r="B183" s="2" t="s">
        <v>23</v>
      </c>
      <c r="C183" s="15">
        <v>45116</v>
      </c>
      <c r="D183" s="12">
        <v>50914680</v>
      </c>
      <c r="E183" t="str">
        <f>VLOOKUP(Ventas!A183,Asesores!$A$2:$C$12,2,FALSE)</f>
        <v>Beatriz Osorio</v>
      </c>
    </row>
    <row r="184" spans="1:5" ht="13.5" x14ac:dyDescent="0.25">
      <c r="A184" s="9">
        <v>1834</v>
      </c>
      <c r="B184" s="2" t="s">
        <v>24</v>
      </c>
      <c r="C184" s="15">
        <v>44956</v>
      </c>
      <c r="D184" s="12">
        <v>29049122</v>
      </c>
      <c r="E184" t="str">
        <f>VLOOKUP(Ventas!A184,Asesores!$A$2:$C$12,2,FALSE)</f>
        <v>Robert Castaño</v>
      </c>
    </row>
    <row r="185" spans="1:5" ht="13.5" x14ac:dyDescent="0.25">
      <c r="A185" s="9">
        <v>1373</v>
      </c>
      <c r="B185" s="2" t="s">
        <v>22</v>
      </c>
      <c r="C185" s="14">
        <v>45257</v>
      </c>
      <c r="D185" s="12">
        <v>49975452</v>
      </c>
      <c r="E185" t="str">
        <f>VLOOKUP(Ventas!A185,Asesores!$A$2:$C$12,2,FALSE)</f>
        <v>Beatriz Osorio</v>
      </c>
    </row>
    <row r="186" spans="1:5" ht="13.5" x14ac:dyDescent="0.25">
      <c r="A186" s="9">
        <v>1373</v>
      </c>
      <c r="B186" s="2" t="s">
        <v>21</v>
      </c>
      <c r="C186" s="15">
        <v>45013</v>
      </c>
      <c r="D186" s="12">
        <v>14621052</v>
      </c>
      <c r="E186" t="str">
        <f>VLOOKUP(Ventas!A186,Asesores!$A$2:$C$12,2,FALSE)</f>
        <v>Beatriz Osorio</v>
      </c>
    </row>
    <row r="187" spans="1:5" ht="13.5" x14ac:dyDescent="0.25">
      <c r="A187" s="9">
        <v>1624</v>
      </c>
      <c r="B187" s="2" t="s">
        <v>22</v>
      </c>
      <c r="C187" s="15">
        <v>45238</v>
      </c>
      <c r="D187" s="12">
        <v>51682427</v>
      </c>
      <c r="E187" t="str">
        <f>VLOOKUP(Ventas!A187,Asesores!$A$2:$C$12,2,FALSE)</f>
        <v>Alejandro Villamil</v>
      </c>
    </row>
    <row r="188" spans="1:5" ht="13.5" x14ac:dyDescent="0.25">
      <c r="A188" s="9">
        <v>1373</v>
      </c>
      <c r="B188" s="2" t="s">
        <v>24</v>
      </c>
      <c r="C188" s="15">
        <v>45078</v>
      </c>
      <c r="D188" s="12">
        <v>21590470</v>
      </c>
      <c r="E188" t="str">
        <f>VLOOKUP(Ventas!A188,Asesores!$A$2:$C$12,2,FALSE)</f>
        <v>Beatriz Osorio</v>
      </c>
    </row>
    <row r="189" spans="1:5" ht="13.5" x14ac:dyDescent="0.25">
      <c r="A189" s="9">
        <v>1624</v>
      </c>
      <c r="B189" s="2" t="s">
        <v>20</v>
      </c>
      <c r="C189" s="15">
        <v>45041</v>
      </c>
      <c r="D189" s="12">
        <v>47673129</v>
      </c>
      <c r="E189" t="str">
        <f>VLOOKUP(Ventas!A189,Asesores!$A$2:$C$12,2,FALSE)</f>
        <v>Alejandro Villamil</v>
      </c>
    </row>
    <row r="190" spans="1:5" ht="13.5" x14ac:dyDescent="0.25">
      <c r="A190" s="9">
        <v>1728</v>
      </c>
      <c r="B190" s="2" t="s">
        <v>25</v>
      </c>
      <c r="C190" s="15">
        <v>45035</v>
      </c>
      <c r="D190" s="12">
        <v>28051040</v>
      </c>
      <c r="E190" t="str">
        <f>VLOOKUP(Ventas!A190,Asesores!$A$2:$C$12,2,FALSE)</f>
        <v>Nicolas Sanchez</v>
      </c>
    </row>
    <row r="191" spans="1:5" ht="13.5" x14ac:dyDescent="0.25">
      <c r="A191" s="9">
        <v>1957</v>
      </c>
      <c r="B191" s="2" t="s">
        <v>22</v>
      </c>
      <c r="C191" s="15">
        <v>45170</v>
      </c>
      <c r="D191" s="12">
        <v>14140688</v>
      </c>
      <c r="E191" t="str">
        <f>VLOOKUP(Ventas!A191,Asesores!$A$2:$C$12,2,FALSE)</f>
        <v>Gilberto Hurtado</v>
      </c>
    </row>
    <row r="192" spans="1:5" ht="13.5" x14ac:dyDescent="0.25">
      <c r="A192" s="9">
        <v>1728</v>
      </c>
      <c r="B192" s="2" t="s">
        <v>25</v>
      </c>
      <c r="C192" s="15">
        <v>45196</v>
      </c>
      <c r="D192" s="12">
        <v>22415287</v>
      </c>
      <c r="E192" t="str">
        <f>VLOOKUP(Ventas!A192,Asesores!$A$2:$C$12,2,FALSE)</f>
        <v>Nicolas Sanchez</v>
      </c>
    </row>
    <row r="193" spans="1:5" ht="13.5" x14ac:dyDescent="0.25">
      <c r="A193" s="9">
        <v>1710</v>
      </c>
      <c r="B193" s="2" t="s">
        <v>23</v>
      </c>
      <c r="C193" s="14">
        <v>45241</v>
      </c>
      <c r="D193" s="12">
        <v>33682331</v>
      </c>
      <c r="E193" t="str">
        <f>VLOOKUP(Ventas!A193,Asesores!$A$2:$C$12,2,FALSE)</f>
        <v>Santiago Perez</v>
      </c>
    </row>
    <row r="194" spans="1:5" ht="13.5" x14ac:dyDescent="0.25">
      <c r="A194" s="9">
        <v>1957</v>
      </c>
      <c r="B194" s="2" t="s">
        <v>21</v>
      </c>
      <c r="C194" s="15">
        <v>45161</v>
      </c>
      <c r="D194" s="12">
        <v>37844031</v>
      </c>
      <c r="E194" t="str">
        <f>VLOOKUP(Ventas!A194,Asesores!$A$2:$C$12,2,FALSE)</f>
        <v>Gilberto Hurtado</v>
      </c>
    </row>
    <row r="195" spans="1:5" ht="13.5" x14ac:dyDescent="0.25">
      <c r="A195" s="9">
        <v>1957</v>
      </c>
      <c r="B195" s="2" t="s">
        <v>23</v>
      </c>
      <c r="C195" s="14">
        <v>45254</v>
      </c>
      <c r="D195" s="12">
        <v>51833878</v>
      </c>
      <c r="E195" t="str">
        <f>VLOOKUP(Ventas!A195,Asesores!$A$2:$C$12,2,FALSE)</f>
        <v>Gilberto Hurtado</v>
      </c>
    </row>
    <row r="196" spans="1:5" ht="13.5" x14ac:dyDescent="0.25">
      <c r="A196" s="9">
        <v>1624</v>
      </c>
      <c r="B196" s="2" t="s">
        <v>23</v>
      </c>
      <c r="C196" s="15">
        <v>45173</v>
      </c>
      <c r="D196" s="12">
        <v>20856584</v>
      </c>
      <c r="E196" t="str">
        <f>VLOOKUP(Ventas!A196,Asesores!$A$2:$C$12,2,FALSE)</f>
        <v>Alejandro Villamil</v>
      </c>
    </row>
    <row r="197" spans="1:5" ht="13.5" x14ac:dyDescent="0.25">
      <c r="A197" s="9">
        <v>1985</v>
      </c>
      <c r="B197" s="2" t="s">
        <v>21</v>
      </c>
      <c r="C197" s="15">
        <v>44988</v>
      </c>
      <c r="D197" s="12">
        <v>21488176</v>
      </c>
      <c r="E197" t="str">
        <f>VLOOKUP(Ventas!A197,Asesores!$A$2:$C$12,2,FALSE)</f>
        <v>Carolina Romero</v>
      </c>
    </row>
    <row r="198" spans="1:5" ht="13.5" x14ac:dyDescent="0.25">
      <c r="A198" s="9">
        <v>1060</v>
      </c>
      <c r="B198" s="2" t="s">
        <v>20</v>
      </c>
      <c r="C198" s="14">
        <v>45272</v>
      </c>
      <c r="D198" s="12">
        <v>58411125</v>
      </c>
      <c r="E198" t="str">
        <f>VLOOKUP(Ventas!A198,Asesores!$A$2:$C$12,2,FALSE)</f>
        <v>Sandra Lopez</v>
      </c>
    </row>
    <row r="199" spans="1:5" ht="13.5" x14ac:dyDescent="0.25">
      <c r="A199" s="9">
        <v>1728</v>
      </c>
      <c r="B199" s="2" t="s">
        <v>21</v>
      </c>
      <c r="C199" s="15">
        <v>45023</v>
      </c>
      <c r="D199" s="12">
        <v>60434534</v>
      </c>
      <c r="E199" t="str">
        <f>VLOOKUP(Ventas!A199,Asesores!$A$2:$C$12,2,FALSE)</f>
        <v>Nicolas Sanchez</v>
      </c>
    </row>
    <row r="200" spans="1:5" ht="13.5" x14ac:dyDescent="0.25">
      <c r="A200" s="9">
        <v>1957</v>
      </c>
      <c r="B200" s="2" t="s">
        <v>21</v>
      </c>
      <c r="C200" s="15">
        <v>44937</v>
      </c>
      <c r="D200" s="12">
        <v>39952661</v>
      </c>
      <c r="E200" t="str">
        <f>VLOOKUP(Ventas!A200,Asesores!$A$2:$C$12,2,FALSE)</f>
        <v>Gilberto Hurtado</v>
      </c>
    </row>
    <row r="201" spans="1:5" ht="13.5" x14ac:dyDescent="0.25">
      <c r="A201" s="9">
        <v>1624</v>
      </c>
      <c r="B201" s="2" t="s">
        <v>22</v>
      </c>
      <c r="C201" s="14">
        <v>45245</v>
      </c>
      <c r="D201" s="12">
        <v>40732909</v>
      </c>
      <c r="E201" t="str">
        <f>VLOOKUP(Ventas!A201,Asesores!$A$2:$C$12,2,FALSE)</f>
        <v>Alejandro Villamil</v>
      </c>
    </row>
    <row r="202" spans="1:5" ht="13.5" x14ac:dyDescent="0.25">
      <c r="A202" s="9">
        <v>1624</v>
      </c>
      <c r="B202" s="2" t="s">
        <v>21</v>
      </c>
      <c r="C202" s="14">
        <v>45248</v>
      </c>
      <c r="D202" s="12">
        <v>53666979</v>
      </c>
      <c r="E202" t="str">
        <f>VLOOKUP(Ventas!A202,Asesores!$A$2:$C$12,2,FALSE)</f>
        <v>Alejandro Villamil</v>
      </c>
    </row>
    <row r="203" spans="1:5" ht="13.5" x14ac:dyDescent="0.25">
      <c r="A203" s="9">
        <v>1728</v>
      </c>
      <c r="B203" s="2" t="s">
        <v>22</v>
      </c>
      <c r="C203" s="15">
        <v>45116</v>
      </c>
      <c r="D203" s="12">
        <v>34114954</v>
      </c>
      <c r="E203" t="str">
        <f>VLOOKUP(Ventas!A203,Asesores!$A$2:$C$12,2,FALSE)</f>
        <v>Nicolas Sanchez</v>
      </c>
    </row>
    <row r="204" spans="1:5" ht="13.5" x14ac:dyDescent="0.25">
      <c r="A204" s="9">
        <v>1373</v>
      </c>
      <c r="B204" s="2" t="s">
        <v>21</v>
      </c>
      <c r="C204" s="15">
        <v>45105</v>
      </c>
      <c r="D204" s="12">
        <v>22338790</v>
      </c>
      <c r="E204" t="str">
        <f>VLOOKUP(Ventas!A204,Asesores!$A$2:$C$12,2,FALSE)</f>
        <v>Beatriz Osorio</v>
      </c>
    </row>
    <row r="205" spans="1:5" ht="13.5" x14ac:dyDescent="0.25">
      <c r="A205" s="9">
        <v>1957</v>
      </c>
      <c r="B205" s="2" t="s">
        <v>21</v>
      </c>
      <c r="C205" s="15">
        <v>45171</v>
      </c>
      <c r="D205" s="12">
        <v>30292280</v>
      </c>
      <c r="E205" t="str">
        <f>VLOOKUP(Ventas!A205,Asesores!$A$2:$C$12,2,FALSE)</f>
        <v>Gilberto Hurtado</v>
      </c>
    </row>
    <row r="206" spans="1:5" ht="13.5" x14ac:dyDescent="0.25">
      <c r="A206" s="9">
        <v>1728</v>
      </c>
      <c r="B206" s="2" t="s">
        <v>21</v>
      </c>
      <c r="C206" s="15">
        <v>45082</v>
      </c>
      <c r="D206" s="12">
        <v>20186752</v>
      </c>
      <c r="E206" t="str">
        <f>VLOOKUP(Ventas!A206,Asesores!$A$2:$C$12,2,FALSE)</f>
        <v>Nicolas Sanchez</v>
      </c>
    </row>
    <row r="207" spans="1:5" ht="13.5" x14ac:dyDescent="0.25">
      <c r="A207" s="9">
        <v>1708</v>
      </c>
      <c r="B207" s="2" t="s">
        <v>22</v>
      </c>
      <c r="C207" s="15">
        <v>45173</v>
      </c>
      <c r="D207" s="12">
        <v>55686677</v>
      </c>
      <c r="E207" t="str">
        <f>VLOOKUP(Ventas!A207,Asesores!$A$2:$C$12,2,FALSE)</f>
        <v>Vicky Ortiz</v>
      </c>
    </row>
    <row r="208" spans="1:5" ht="13.5" x14ac:dyDescent="0.25">
      <c r="A208" s="9">
        <v>1060</v>
      </c>
      <c r="B208" s="2" t="s">
        <v>25</v>
      </c>
      <c r="C208" s="15">
        <v>45264</v>
      </c>
      <c r="D208" s="12">
        <v>23059343</v>
      </c>
      <c r="E208" t="str">
        <f>VLOOKUP(Ventas!A208,Asesores!$A$2:$C$12,2,FALSE)</f>
        <v>Sandra Lopez</v>
      </c>
    </row>
    <row r="209" spans="1:5" ht="13.5" x14ac:dyDescent="0.25">
      <c r="A209" s="9">
        <v>1834</v>
      </c>
      <c r="B209" s="2" t="s">
        <v>22</v>
      </c>
      <c r="C209" s="15">
        <v>44950</v>
      </c>
      <c r="D209" s="12">
        <v>69634434</v>
      </c>
      <c r="E209" t="str">
        <f>VLOOKUP(Ventas!A209,Asesores!$A$2:$C$12,2,FALSE)</f>
        <v>Robert Castaño</v>
      </c>
    </row>
    <row r="210" spans="1:5" ht="13.5" x14ac:dyDescent="0.25">
      <c r="A210" s="9">
        <v>1728</v>
      </c>
      <c r="B210" s="2" t="s">
        <v>21</v>
      </c>
      <c r="C210" s="15">
        <v>45070</v>
      </c>
      <c r="D210" s="12">
        <v>69480045</v>
      </c>
      <c r="E210" t="str">
        <f>VLOOKUP(Ventas!A210,Asesores!$A$2:$C$12,2,FALSE)</f>
        <v>Nicolas Sanchez</v>
      </c>
    </row>
    <row r="211" spans="1:5" ht="13.5" x14ac:dyDescent="0.25">
      <c r="A211" s="9">
        <v>1957</v>
      </c>
      <c r="B211" s="2" t="s">
        <v>23</v>
      </c>
      <c r="C211" s="15">
        <v>45070</v>
      </c>
      <c r="D211" s="12">
        <v>14304135</v>
      </c>
      <c r="E211" t="str">
        <f>VLOOKUP(Ventas!A211,Asesores!$A$2:$C$12,2,FALSE)</f>
        <v>Gilberto Hurtado</v>
      </c>
    </row>
    <row r="212" spans="1:5" ht="13.5" x14ac:dyDescent="0.25">
      <c r="A212" s="9">
        <v>1373</v>
      </c>
      <c r="B212" s="2" t="s">
        <v>23</v>
      </c>
      <c r="C212" s="15">
        <v>44930</v>
      </c>
      <c r="D212" s="12">
        <v>24404012</v>
      </c>
      <c r="E212" t="str">
        <f>VLOOKUP(Ventas!A212,Asesores!$A$2:$C$12,2,FALSE)</f>
        <v>Beatriz Osorio</v>
      </c>
    </row>
    <row r="213" spans="1:5" ht="13.5" x14ac:dyDescent="0.25">
      <c r="A213" s="9">
        <v>1708</v>
      </c>
      <c r="B213" s="2" t="s">
        <v>21</v>
      </c>
      <c r="C213" s="15">
        <v>45068</v>
      </c>
      <c r="D213" s="12">
        <v>10965972</v>
      </c>
      <c r="E213" t="str">
        <f>VLOOKUP(Ventas!A213,Asesores!$A$2:$C$12,2,FALSE)</f>
        <v>Vicky Ortiz</v>
      </c>
    </row>
    <row r="214" spans="1:5" ht="13.5" x14ac:dyDescent="0.25">
      <c r="A214" s="9">
        <v>1834</v>
      </c>
      <c r="B214" s="2" t="s">
        <v>20</v>
      </c>
      <c r="C214" s="14">
        <v>45209</v>
      </c>
      <c r="D214" s="12">
        <v>27331094</v>
      </c>
      <c r="E214" t="str">
        <f>VLOOKUP(Ventas!A214,Asesores!$A$2:$C$12,2,FALSE)</f>
        <v>Robert Castaño</v>
      </c>
    </row>
    <row r="215" spans="1:5" ht="13.5" x14ac:dyDescent="0.25">
      <c r="A215" s="9">
        <v>1834</v>
      </c>
      <c r="B215" s="2" t="s">
        <v>23</v>
      </c>
      <c r="C215" s="15">
        <v>45146</v>
      </c>
      <c r="D215" s="12">
        <v>21135398</v>
      </c>
      <c r="E215" t="str">
        <f>VLOOKUP(Ventas!A215,Asesores!$A$2:$C$12,2,FALSE)</f>
        <v>Robert Castaño</v>
      </c>
    </row>
    <row r="216" spans="1:5" ht="13.5" x14ac:dyDescent="0.25">
      <c r="A216" s="9">
        <v>1728</v>
      </c>
      <c r="B216" s="2" t="s">
        <v>22</v>
      </c>
      <c r="C216" s="15">
        <v>44942</v>
      </c>
      <c r="D216" s="12">
        <v>47000091</v>
      </c>
      <c r="E216" t="str">
        <f>VLOOKUP(Ventas!A216,Asesores!$A$2:$C$12,2,FALSE)</f>
        <v>Nicolas Sanchez</v>
      </c>
    </row>
    <row r="217" spans="1:5" ht="13.5" x14ac:dyDescent="0.25">
      <c r="A217" s="9">
        <v>1957</v>
      </c>
      <c r="B217" s="2" t="s">
        <v>20</v>
      </c>
      <c r="C217" s="15">
        <v>45101</v>
      </c>
      <c r="D217" s="12">
        <v>59896875</v>
      </c>
      <c r="E217" t="str">
        <f>VLOOKUP(Ventas!A217,Asesores!$A$2:$C$12,2,FALSE)</f>
        <v>Gilberto Hurtado</v>
      </c>
    </row>
    <row r="218" spans="1:5" ht="13.5" x14ac:dyDescent="0.25">
      <c r="A218" s="9">
        <v>1957</v>
      </c>
      <c r="B218" s="2" t="s">
        <v>24</v>
      </c>
      <c r="C218" s="15">
        <v>45025</v>
      </c>
      <c r="D218" s="12">
        <v>59911466</v>
      </c>
      <c r="E218" t="str">
        <f>VLOOKUP(Ventas!A218,Asesores!$A$2:$C$12,2,FALSE)</f>
        <v>Gilberto Hurtado</v>
      </c>
    </row>
    <row r="219" spans="1:5" ht="13.5" x14ac:dyDescent="0.25">
      <c r="A219" s="9">
        <v>1957</v>
      </c>
      <c r="B219" s="2" t="s">
        <v>20</v>
      </c>
      <c r="C219" s="15">
        <v>44931</v>
      </c>
      <c r="D219" s="12">
        <v>61621621</v>
      </c>
      <c r="E219" t="str">
        <f>VLOOKUP(Ventas!A219,Asesores!$A$2:$C$12,2,FALSE)</f>
        <v>Gilberto Hurtado</v>
      </c>
    </row>
    <row r="220" spans="1:5" ht="13.5" x14ac:dyDescent="0.25">
      <c r="A220" s="9">
        <v>1985</v>
      </c>
      <c r="B220" s="2" t="s">
        <v>21</v>
      </c>
      <c r="C220" s="15">
        <v>45037</v>
      </c>
      <c r="D220" s="12">
        <v>35955759</v>
      </c>
      <c r="E220" t="str">
        <f>VLOOKUP(Ventas!A220,Asesores!$A$2:$C$12,2,FALSE)</f>
        <v>Carolina Romero</v>
      </c>
    </row>
    <row r="221" spans="1:5" ht="13.5" x14ac:dyDescent="0.25">
      <c r="A221" s="9">
        <v>1060</v>
      </c>
      <c r="B221" s="2" t="s">
        <v>24</v>
      </c>
      <c r="C221" s="15">
        <v>45088</v>
      </c>
      <c r="D221" s="12">
        <v>28324160</v>
      </c>
      <c r="E221" t="str">
        <f>VLOOKUP(Ventas!A221,Asesores!$A$2:$C$12,2,FALSE)</f>
        <v>Sandra Lopez</v>
      </c>
    </row>
    <row r="222" spans="1:5" ht="13.5" x14ac:dyDescent="0.25">
      <c r="A222" s="9">
        <v>1957</v>
      </c>
      <c r="B222" s="2" t="s">
        <v>22</v>
      </c>
      <c r="C222" s="15">
        <v>45069</v>
      </c>
      <c r="D222" s="12">
        <v>62681627</v>
      </c>
      <c r="E222" t="str">
        <f>VLOOKUP(Ventas!A222,Asesores!$A$2:$C$12,2,FALSE)</f>
        <v>Gilberto Hurtado</v>
      </c>
    </row>
    <row r="223" spans="1:5" ht="13.5" x14ac:dyDescent="0.25">
      <c r="A223" s="9">
        <v>1373</v>
      </c>
      <c r="B223" s="2" t="s">
        <v>22</v>
      </c>
      <c r="C223" s="15">
        <v>45191</v>
      </c>
      <c r="D223" s="12">
        <v>61094884</v>
      </c>
      <c r="E223" t="str">
        <f>VLOOKUP(Ventas!A223,Asesores!$A$2:$C$12,2,FALSE)</f>
        <v>Beatriz Osorio</v>
      </c>
    </row>
    <row r="224" spans="1:5" ht="13.5" x14ac:dyDescent="0.25">
      <c r="A224" s="9">
        <v>1373</v>
      </c>
      <c r="B224" s="2" t="s">
        <v>21</v>
      </c>
      <c r="C224" s="15">
        <v>44966</v>
      </c>
      <c r="D224" s="12">
        <v>26828257</v>
      </c>
      <c r="E224" t="str">
        <f>VLOOKUP(Ventas!A224,Asesores!$A$2:$C$12,2,FALSE)</f>
        <v>Beatriz Osorio</v>
      </c>
    </row>
    <row r="225" spans="1:5" ht="13.5" x14ac:dyDescent="0.25">
      <c r="A225" s="9">
        <v>1624</v>
      </c>
      <c r="B225" s="2" t="s">
        <v>20</v>
      </c>
      <c r="C225" s="15">
        <v>45239</v>
      </c>
      <c r="D225" s="12">
        <v>61168284</v>
      </c>
      <c r="E225" t="str">
        <f>VLOOKUP(Ventas!A225,Asesores!$A$2:$C$12,2,FALSE)</f>
        <v>Alejandro Villamil</v>
      </c>
    </row>
    <row r="226" spans="1:5" ht="13.5" x14ac:dyDescent="0.25">
      <c r="A226" s="9">
        <v>1728</v>
      </c>
      <c r="B226" s="2" t="s">
        <v>22</v>
      </c>
      <c r="C226" s="15">
        <v>45071</v>
      </c>
      <c r="D226" s="12">
        <v>34515342</v>
      </c>
      <c r="E226" t="str">
        <f>VLOOKUP(Ventas!A226,Asesores!$A$2:$C$12,2,FALSE)</f>
        <v>Nicolas Sanchez</v>
      </c>
    </row>
    <row r="227" spans="1:5" ht="13.5" x14ac:dyDescent="0.25">
      <c r="A227" s="9">
        <v>1728</v>
      </c>
      <c r="B227" s="2" t="s">
        <v>24</v>
      </c>
      <c r="C227" s="15">
        <v>45093</v>
      </c>
      <c r="D227" s="12">
        <v>20214775</v>
      </c>
      <c r="E227" t="str">
        <f>VLOOKUP(Ventas!A227,Asesores!$A$2:$C$12,2,FALSE)</f>
        <v>Nicolas Sanchez</v>
      </c>
    </row>
    <row r="228" spans="1:5" ht="13.5" x14ac:dyDescent="0.25">
      <c r="A228" s="9">
        <v>1728</v>
      </c>
      <c r="B228" s="2" t="s">
        <v>24</v>
      </c>
      <c r="C228" s="15">
        <v>45068</v>
      </c>
      <c r="D228" s="12">
        <v>12160826</v>
      </c>
      <c r="E228" t="str">
        <f>VLOOKUP(Ventas!A228,Asesores!$A$2:$C$12,2,FALSE)</f>
        <v>Nicolas Sanchez</v>
      </c>
    </row>
    <row r="229" spans="1:5" ht="13.5" x14ac:dyDescent="0.25">
      <c r="A229" s="9">
        <v>1708</v>
      </c>
      <c r="B229" s="2" t="s">
        <v>21</v>
      </c>
      <c r="C229" s="15">
        <v>44986</v>
      </c>
      <c r="D229" s="12">
        <v>38547309</v>
      </c>
      <c r="E229" t="str">
        <f>VLOOKUP(Ventas!A229,Asesores!$A$2:$C$12,2,FALSE)</f>
        <v>Vicky Ortiz</v>
      </c>
    </row>
    <row r="230" spans="1:5" ht="13.5" x14ac:dyDescent="0.25">
      <c r="A230" s="9">
        <v>1728</v>
      </c>
      <c r="B230" s="2" t="s">
        <v>20</v>
      </c>
      <c r="C230" s="14">
        <v>45212</v>
      </c>
      <c r="D230" s="12">
        <v>20519837</v>
      </c>
      <c r="E230" t="str">
        <f>VLOOKUP(Ventas!A230,Asesores!$A$2:$C$12,2,FALSE)</f>
        <v>Nicolas Sanchez</v>
      </c>
    </row>
    <row r="231" spans="1:5" ht="13.5" x14ac:dyDescent="0.25">
      <c r="A231" s="9">
        <v>1957</v>
      </c>
      <c r="B231" s="2" t="s">
        <v>23</v>
      </c>
      <c r="C231" s="15">
        <v>44928</v>
      </c>
      <c r="D231" s="12">
        <v>27278258</v>
      </c>
      <c r="E231" t="str">
        <f>VLOOKUP(Ventas!A231,Asesores!$A$2:$C$12,2,FALSE)</f>
        <v>Gilberto Hurtado</v>
      </c>
    </row>
    <row r="232" spans="1:5" ht="13.5" x14ac:dyDescent="0.25">
      <c r="A232" s="9">
        <v>1624</v>
      </c>
      <c r="B232" s="2" t="s">
        <v>21</v>
      </c>
      <c r="C232" s="15">
        <v>44953</v>
      </c>
      <c r="D232" s="12">
        <v>61132288</v>
      </c>
      <c r="E232" t="str">
        <f>VLOOKUP(Ventas!A232,Asesores!$A$2:$C$12,2,FALSE)</f>
        <v>Alejandro Villamil</v>
      </c>
    </row>
    <row r="233" spans="1:5" ht="13.5" x14ac:dyDescent="0.25">
      <c r="A233" s="9">
        <v>1985</v>
      </c>
      <c r="B233" s="2" t="s">
        <v>22</v>
      </c>
      <c r="C233" s="15">
        <v>45141</v>
      </c>
      <c r="D233" s="12">
        <v>60213373</v>
      </c>
      <c r="E233" t="str">
        <f>VLOOKUP(Ventas!A233,Asesores!$A$2:$C$12,2,FALSE)</f>
        <v>Carolina Romero</v>
      </c>
    </row>
    <row r="234" spans="1:5" ht="13.5" x14ac:dyDescent="0.25">
      <c r="A234" s="9">
        <v>1060</v>
      </c>
      <c r="B234" s="2" t="s">
        <v>24</v>
      </c>
      <c r="C234" s="15">
        <v>45262</v>
      </c>
      <c r="D234" s="12">
        <v>41156923</v>
      </c>
      <c r="E234" t="str">
        <f>VLOOKUP(Ventas!A234,Asesores!$A$2:$C$12,2,FALSE)</f>
        <v>Sandra Lopez</v>
      </c>
    </row>
    <row r="235" spans="1:5" ht="13.5" x14ac:dyDescent="0.25">
      <c r="A235" s="9">
        <v>1624</v>
      </c>
      <c r="B235" s="2" t="s">
        <v>22</v>
      </c>
      <c r="C235" s="15">
        <v>45051</v>
      </c>
      <c r="D235" s="12">
        <v>12817627</v>
      </c>
      <c r="E235" t="str">
        <f>VLOOKUP(Ventas!A235,Asesores!$A$2:$C$12,2,FALSE)</f>
        <v>Alejandro Villamil</v>
      </c>
    </row>
    <row r="236" spans="1:5" ht="13.5" x14ac:dyDescent="0.25">
      <c r="A236" s="9">
        <v>1624</v>
      </c>
      <c r="B236" s="2" t="s">
        <v>23</v>
      </c>
      <c r="C236" s="15">
        <v>45181</v>
      </c>
      <c r="D236" s="12">
        <v>34117131</v>
      </c>
      <c r="E236" t="str">
        <f>VLOOKUP(Ventas!A236,Asesores!$A$2:$C$12,2,FALSE)</f>
        <v>Alejandro Villamil</v>
      </c>
    </row>
    <row r="237" spans="1:5" ht="13.5" x14ac:dyDescent="0.25">
      <c r="A237" s="9">
        <v>1624</v>
      </c>
      <c r="B237" s="2" t="s">
        <v>23</v>
      </c>
      <c r="C237" s="15">
        <v>45009</v>
      </c>
      <c r="D237" s="12">
        <v>64400975</v>
      </c>
      <c r="E237" t="str">
        <f>VLOOKUP(Ventas!A237,Asesores!$A$2:$C$12,2,FALSE)</f>
        <v>Alejandro Villamil</v>
      </c>
    </row>
    <row r="238" spans="1:5" ht="13.5" x14ac:dyDescent="0.25">
      <c r="A238" s="9">
        <v>1373</v>
      </c>
      <c r="B238" s="2" t="s">
        <v>21</v>
      </c>
      <c r="C238" s="15">
        <v>45269</v>
      </c>
      <c r="D238" s="12">
        <v>38910029</v>
      </c>
      <c r="E238" t="str">
        <f>VLOOKUP(Ventas!A238,Asesores!$A$2:$C$12,2,FALSE)</f>
        <v>Beatriz Osorio</v>
      </c>
    </row>
    <row r="239" spans="1:5" ht="13.5" x14ac:dyDescent="0.25">
      <c r="A239" s="9">
        <v>1957</v>
      </c>
      <c r="B239" s="2" t="s">
        <v>23</v>
      </c>
      <c r="C239" s="15">
        <v>45052</v>
      </c>
      <c r="D239" s="12">
        <v>45429523</v>
      </c>
      <c r="E239" t="str">
        <f>VLOOKUP(Ventas!A239,Asesores!$A$2:$C$12,2,FALSE)</f>
        <v>Gilberto Hurtado</v>
      </c>
    </row>
    <row r="240" spans="1:5" ht="13.5" x14ac:dyDescent="0.25">
      <c r="A240" s="9">
        <v>1957</v>
      </c>
      <c r="B240" s="2" t="s">
        <v>22</v>
      </c>
      <c r="C240" s="15">
        <v>44980</v>
      </c>
      <c r="D240" s="12">
        <v>67955317</v>
      </c>
      <c r="E240" t="str">
        <f>VLOOKUP(Ventas!A240,Asesores!$A$2:$C$12,2,FALSE)</f>
        <v>Gilberto Hurtado</v>
      </c>
    </row>
    <row r="241" spans="1:5" ht="13.5" x14ac:dyDescent="0.25">
      <c r="A241" s="9">
        <v>1957</v>
      </c>
      <c r="B241" s="2" t="s">
        <v>20</v>
      </c>
      <c r="C241" s="15">
        <v>45026</v>
      </c>
      <c r="D241" s="12">
        <v>53346324</v>
      </c>
      <c r="E241" t="str">
        <f>VLOOKUP(Ventas!A241,Asesores!$A$2:$C$12,2,FALSE)</f>
        <v>Gilberto Hurtado</v>
      </c>
    </row>
    <row r="242" spans="1:5" ht="13.5" x14ac:dyDescent="0.25">
      <c r="A242" s="9">
        <v>1060</v>
      </c>
      <c r="B242" s="2" t="s">
        <v>20</v>
      </c>
      <c r="C242" s="15">
        <v>45158</v>
      </c>
      <c r="D242" s="12">
        <v>19382100</v>
      </c>
      <c r="E242" t="str">
        <f>VLOOKUP(Ventas!A242,Asesores!$A$2:$C$12,2,FALSE)</f>
        <v>Sandra Lopez</v>
      </c>
    </row>
    <row r="243" spans="1:5" ht="13.5" x14ac:dyDescent="0.25">
      <c r="A243" s="9">
        <v>1710</v>
      </c>
      <c r="B243" s="2" t="s">
        <v>20</v>
      </c>
      <c r="C243" s="15">
        <v>45167</v>
      </c>
      <c r="D243" s="12">
        <v>18108928</v>
      </c>
      <c r="E243" t="str">
        <f>VLOOKUP(Ventas!A243,Asesores!$A$2:$C$12,2,FALSE)</f>
        <v>Santiago Perez</v>
      </c>
    </row>
    <row r="244" spans="1:5" ht="13.5" x14ac:dyDescent="0.25">
      <c r="A244" s="9">
        <v>1834</v>
      </c>
      <c r="B244" s="2" t="s">
        <v>21</v>
      </c>
      <c r="C244" s="15">
        <v>45042</v>
      </c>
      <c r="D244" s="12">
        <v>17257031</v>
      </c>
      <c r="E244" t="str">
        <f>VLOOKUP(Ventas!A244,Asesores!$A$2:$C$12,2,FALSE)</f>
        <v>Robert Castaño</v>
      </c>
    </row>
    <row r="245" spans="1:5" ht="13.5" x14ac:dyDescent="0.25">
      <c r="A245" s="9">
        <v>1957</v>
      </c>
      <c r="B245" s="2" t="s">
        <v>23</v>
      </c>
      <c r="C245" s="14">
        <v>45270</v>
      </c>
      <c r="D245" s="12">
        <v>69743261</v>
      </c>
      <c r="E245" t="str">
        <f>VLOOKUP(Ventas!A245,Asesores!$A$2:$C$12,2,FALSE)</f>
        <v>Gilberto Hurtado</v>
      </c>
    </row>
    <row r="246" spans="1:5" ht="13.5" x14ac:dyDescent="0.25">
      <c r="A246" s="9">
        <v>1957</v>
      </c>
      <c r="B246" s="2" t="s">
        <v>20</v>
      </c>
      <c r="C246" s="14">
        <v>45211</v>
      </c>
      <c r="D246" s="12">
        <v>23937559</v>
      </c>
      <c r="E246" t="str">
        <f>VLOOKUP(Ventas!A246,Asesores!$A$2:$C$12,2,FALSE)</f>
        <v>Gilberto Hurtado</v>
      </c>
    </row>
    <row r="247" spans="1:5" ht="13.5" x14ac:dyDescent="0.25">
      <c r="A247" s="9">
        <v>1728</v>
      </c>
      <c r="B247" s="2" t="s">
        <v>21</v>
      </c>
      <c r="C247" s="14">
        <v>45255</v>
      </c>
      <c r="D247" s="12">
        <v>48416564</v>
      </c>
      <c r="E247" t="str">
        <f>VLOOKUP(Ventas!A247,Asesores!$A$2:$C$12,2,FALSE)</f>
        <v>Nicolas Sanchez</v>
      </c>
    </row>
    <row r="248" spans="1:5" ht="13.5" x14ac:dyDescent="0.25">
      <c r="A248" s="9">
        <v>1708</v>
      </c>
      <c r="B248" s="2" t="s">
        <v>20</v>
      </c>
      <c r="C248" s="15">
        <v>45235</v>
      </c>
      <c r="D248" s="12">
        <v>40975994</v>
      </c>
      <c r="E248" t="str">
        <f>VLOOKUP(Ventas!A248,Asesores!$A$2:$C$12,2,FALSE)</f>
        <v>Vicky Ortiz</v>
      </c>
    </row>
    <row r="249" spans="1:5" ht="13.5" x14ac:dyDescent="0.25">
      <c r="A249" s="9">
        <v>1728</v>
      </c>
      <c r="B249" s="2" t="s">
        <v>20</v>
      </c>
      <c r="C249" s="15">
        <v>44969</v>
      </c>
      <c r="D249" s="12">
        <v>43248049</v>
      </c>
      <c r="E249" t="str">
        <f>VLOOKUP(Ventas!A249,Asesores!$A$2:$C$12,2,FALSE)</f>
        <v>Nicolas Sanchez</v>
      </c>
    </row>
    <row r="250" spans="1:5" ht="13.5" x14ac:dyDescent="0.25">
      <c r="A250" s="9">
        <v>1957</v>
      </c>
      <c r="B250" s="2" t="s">
        <v>21</v>
      </c>
      <c r="C250" s="15">
        <v>45138</v>
      </c>
      <c r="D250" s="12">
        <v>62897571</v>
      </c>
      <c r="E250" t="str">
        <f>VLOOKUP(Ventas!A250,Asesores!$A$2:$C$12,2,FALSE)</f>
        <v>Gilberto Hurtado</v>
      </c>
    </row>
    <row r="251" spans="1:5" ht="13.5" x14ac:dyDescent="0.25">
      <c r="A251" s="9">
        <v>1957</v>
      </c>
      <c r="B251" s="2" t="s">
        <v>23</v>
      </c>
      <c r="C251" s="15">
        <v>45074</v>
      </c>
      <c r="D251" s="12">
        <v>16599403</v>
      </c>
      <c r="E251" t="str">
        <f>VLOOKUP(Ventas!A251,Asesores!$A$2:$C$12,2,FALSE)</f>
        <v>Gilberto Hurtado</v>
      </c>
    </row>
    <row r="252" spans="1:5" ht="13.5" x14ac:dyDescent="0.25">
      <c r="A252" s="9">
        <v>1710</v>
      </c>
      <c r="B252" s="2" t="s">
        <v>23</v>
      </c>
      <c r="C252" s="15">
        <v>45172</v>
      </c>
      <c r="D252" s="12">
        <v>25443496</v>
      </c>
      <c r="E252" t="str">
        <f>VLOOKUP(Ventas!A252,Asesores!$A$2:$C$12,2,FALSE)</f>
        <v>Santiago Perez</v>
      </c>
    </row>
    <row r="253" spans="1:5" ht="13.5" x14ac:dyDescent="0.25">
      <c r="A253" s="9">
        <v>1834</v>
      </c>
      <c r="B253" s="2" t="s">
        <v>22</v>
      </c>
      <c r="C253" s="15">
        <v>45019</v>
      </c>
      <c r="D253" s="12">
        <v>20685130</v>
      </c>
      <c r="E253" t="str">
        <f>VLOOKUP(Ventas!A253,Asesores!$A$2:$C$12,2,FALSE)</f>
        <v>Robert Castaño</v>
      </c>
    </row>
    <row r="254" spans="1:5" ht="13.5" x14ac:dyDescent="0.25">
      <c r="A254" s="9">
        <v>1060</v>
      </c>
      <c r="B254" s="2" t="s">
        <v>20</v>
      </c>
      <c r="C254" s="14">
        <v>45219</v>
      </c>
      <c r="D254" s="12">
        <v>37166635</v>
      </c>
      <c r="E254" t="str">
        <f>VLOOKUP(Ventas!A254,Asesores!$A$2:$C$12,2,FALSE)</f>
        <v>Sandra Lopez</v>
      </c>
    </row>
    <row r="255" spans="1:5" ht="13.5" x14ac:dyDescent="0.25">
      <c r="A255" s="9">
        <v>1624</v>
      </c>
      <c r="B255" s="2" t="s">
        <v>21</v>
      </c>
      <c r="C255" s="15">
        <v>45073</v>
      </c>
      <c r="D255" s="12">
        <v>41999987</v>
      </c>
      <c r="E255" t="str">
        <f>VLOOKUP(Ventas!A255,Asesores!$A$2:$C$12,2,FALSE)</f>
        <v>Alejandro Villamil</v>
      </c>
    </row>
    <row r="256" spans="1:5" ht="13.5" x14ac:dyDescent="0.25">
      <c r="A256" s="9">
        <v>1624</v>
      </c>
      <c r="B256" s="2" t="s">
        <v>20</v>
      </c>
      <c r="C256" s="15">
        <v>45016</v>
      </c>
      <c r="D256" s="12">
        <v>30652155</v>
      </c>
      <c r="E256" t="str">
        <f>VLOOKUP(Ventas!A256,Asesores!$A$2:$C$12,2,FALSE)</f>
        <v>Alejandro Villamil</v>
      </c>
    </row>
    <row r="257" spans="1:5" ht="13.5" x14ac:dyDescent="0.25">
      <c r="A257" s="9">
        <v>1624</v>
      </c>
      <c r="B257" s="2" t="s">
        <v>24</v>
      </c>
      <c r="C257" s="15">
        <v>44991</v>
      </c>
      <c r="D257" s="12">
        <v>13413138</v>
      </c>
      <c r="E257" t="str">
        <f>VLOOKUP(Ventas!A257,Asesores!$A$2:$C$12,2,FALSE)</f>
        <v>Alejandro Villamil</v>
      </c>
    </row>
    <row r="258" spans="1:5" ht="13.5" x14ac:dyDescent="0.25">
      <c r="A258" s="9">
        <v>1708</v>
      </c>
      <c r="B258" s="2" t="s">
        <v>21</v>
      </c>
      <c r="C258" s="15">
        <v>45080</v>
      </c>
      <c r="D258" s="12">
        <v>55263218</v>
      </c>
      <c r="E258" t="str">
        <f>VLOOKUP(Ventas!A258,Asesores!$A$2:$C$12,2,FALSE)</f>
        <v>Vicky Ortiz</v>
      </c>
    </row>
    <row r="259" spans="1:5" ht="13.5" x14ac:dyDescent="0.25">
      <c r="A259" s="9">
        <v>1728</v>
      </c>
      <c r="B259" s="2" t="s">
        <v>21</v>
      </c>
      <c r="C259" s="15">
        <v>45166</v>
      </c>
      <c r="D259" s="12">
        <v>27852832</v>
      </c>
      <c r="E259" t="str">
        <f>VLOOKUP(Ventas!A259,Asesores!$A$2:$C$12,2,FALSE)</f>
        <v>Nicolas Sanchez</v>
      </c>
    </row>
    <row r="260" spans="1:5" ht="13.5" x14ac:dyDescent="0.25">
      <c r="A260" s="9">
        <v>1373</v>
      </c>
      <c r="B260" s="2" t="s">
        <v>24</v>
      </c>
      <c r="C260" s="14">
        <v>45213</v>
      </c>
      <c r="D260" s="12">
        <v>54408381</v>
      </c>
      <c r="E260" t="str">
        <f>VLOOKUP(Ventas!A260,Asesores!$A$2:$C$12,2,FALSE)</f>
        <v>Beatriz Osorio</v>
      </c>
    </row>
    <row r="261" spans="1:5" ht="13.5" x14ac:dyDescent="0.25">
      <c r="A261" s="9">
        <v>1728</v>
      </c>
      <c r="B261" s="2" t="s">
        <v>24</v>
      </c>
      <c r="C261" s="14">
        <v>45273</v>
      </c>
      <c r="D261" s="12">
        <v>42673635</v>
      </c>
      <c r="E261" t="str">
        <f>VLOOKUP(Ventas!A261,Asesores!$A$2:$C$12,2,FALSE)</f>
        <v>Nicolas Sanchez</v>
      </c>
    </row>
    <row r="262" spans="1:5" ht="13.5" x14ac:dyDescent="0.25">
      <c r="A262" s="9">
        <v>1373</v>
      </c>
      <c r="B262" s="2" t="s">
        <v>22</v>
      </c>
      <c r="C262" s="15">
        <v>45074</v>
      </c>
      <c r="D262" s="12">
        <v>41140463</v>
      </c>
      <c r="E262" t="str">
        <f>VLOOKUP(Ventas!A262,Asesores!$A$2:$C$12,2,FALSE)</f>
        <v>Beatriz Osorio</v>
      </c>
    </row>
    <row r="263" spans="1:5" ht="13.5" x14ac:dyDescent="0.25">
      <c r="A263" s="9">
        <v>1957</v>
      </c>
      <c r="B263" s="2" t="s">
        <v>21</v>
      </c>
      <c r="C263" s="15">
        <v>45003</v>
      </c>
      <c r="D263" s="12">
        <v>39310184</v>
      </c>
      <c r="E263" t="str">
        <f>VLOOKUP(Ventas!A263,Asesores!$A$2:$C$12,2,FALSE)</f>
        <v>Gilberto Hurtado</v>
      </c>
    </row>
    <row r="264" spans="1:5" ht="13.5" x14ac:dyDescent="0.25">
      <c r="A264" s="9">
        <v>1710</v>
      </c>
      <c r="B264" s="2" t="s">
        <v>23</v>
      </c>
      <c r="C264" s="15">
        <v>45238</v>
      </c>
      <c r="D264" s="12">
        <v>48712062</v>
      </c>
      <c r="E264" t="str">
        <f>VLOOKUP(Ventas!A264,Asesores!$A$2:$C$12,2,FALSE)</f>
        <v>Santiago Perez</v>
      </c>
    </row>
    <row r="265" spans="1:5" ht="13.5" x14ac:dyDescent="0.25">
      <c r="A265" s="9">
        <v>1060</v>
      </c>
      <c r="B265" s="2" t="s">
        <v>25</v>
      </c>
      <c r="C265" s="15">
        <v>45106</v>
      </c>
      <c r="D265" s="12">
        <v>53036970</v>
      </c>
      <c r="E265" t="str">
        <f>VLOOKUP(Ventas!A265,Asesores!$A$2:$C$12,2,FALSE)</f>
        <v>Sandra Lopez</v>
      </c>
    </row>
    <row r="266" spans="1:5" ht="13.5" x14ac:dyDescent="0.25">
      <c r="A266" s="9">
        <v>1373</v>
      </c>
      <c r="B266" s="2" t="s">
        <v>21</v>
      </c>
      <c r="C266" s="14">
        <v>45288</v>
      </c>
      <c r="D266" s="12">
        <v>55713088</v>
      </c>
      <c r="E266" t="str">
        <f>VLOOKUP(Ventas!A266,Asesores!$A$2:$C$12,2,FALSE)</f>
        <v>Beatriz Osorio</v>
      </c>
    </row>
    <row r="267" spans="1:5" ht="13.5" x14ac:dyDescent="0.25">
      <c r="A267" s="9">
        <v>1373</v>
      </c>
      <c r="B267" s="2" t="s">
        <v>20</v>
      </c>
      <c r="C267" s="15">
        <v>45004</v>
      </c>
      <c r="D267" s="12">
        <v>36753850</v>
      </c>
      <c r="E267" t="str">
        <f>VLOOKUP(Ventas!A267,Asesores!$A$2:$C$12,2,FALSE)</f>
        <v>Beatriz Osorio</v>
      </c>
    </row>
    <row r="268" spans="1:5" ht="13.5" x14ac:dyDescent="0.25">
      <c r="A268" s="9">
        <v>1957</v>
      </c>
      <c r="B268" s="2" t="s">
        <v>24</v>
      </c>
      <c r="C268" s="15">
        <v>45028</v>
      </c>
      <c r="D268" s="12">
        <v>12391313</v>
      </c>
      <c r="E268" t="str">
        <f>VLOOKUP(Ventas!A268,Asesores!$A$2:$C$12,2,FALSE)</f>
        <v>Gilberto Hurtado</v>
      </c>
    </row>
    <row r="269" spans="1:5" ht="13.5" x14ac:dyDescent="0.25">
      <c r="A269" s="9">
        <v>1373</v>
      </c>
      <c r="B269" s="2" t="s">
        <v>23</v>
      </c>
      <c r="C269" s="15">
        <v>45143</v>
      </c>
      <c r="D269" s="12">
        <v>47488932</v>
      </c>
      <c r="E269" t="str">
        <f>VLOOKUP(Ventas!A269,Asesores!$A$2:$C$12,2,FALSE)</f>
        <v>Beatriz Osorio</v>
      </c>
    </row>
    <row r="270" spans="1:5" ht="13.5" x14ac:dyDescent="0.25">
      <c r="A270" s="9">
        <v>1957</v>
      </c>
      <c r="B270" s="2" t="s">
        <v>20</v>
      </c>
      <c r="C270" s="14">
        <v>45281</v>
      </c>
      <c r="D270" s="12">
        <v>15769295</v>
      </c>
      <c r="E270" t="str">
        <f>VLOOKUP(Ventas!A270,Asesores!$A$2:$C$12,2,FALSE)</f>
        <v>Gilberto Hurtado</v>
      </c>
    </row>
    <row r="271" spans="1:5" ht="13.5" x14ac:dyDescent="0.25">
      <c r="A271" s="9">
        <v>1624</v>
      </c>
      <c r="B271" s="2" t="s">
        <v>24</v>
      </c>
      <c r="C271" s="15">
        <v>45173</v>
      </c>
      <c r="D271" s="12">
        <v>21099796</v>
      </c>
      <c r="E271" t="str">
        <f>VLOOKUP(Ventas!A271,Asesores!$A$2:$C$12,2,FALSE)</f>
        <v>Alejandro Villamil</v>
      </c>
    </row>
    <row r="272" spans="1:5" ht="13.5" x14ac:dyDescent="0.25">
      <c r="A272" s="9">
        <v>1834</v>
      </c>
      <c r="B272" s="2" t="s">
        <v>23</v>
      </c>
      <c r="C272" s="14">
        <v>45272</v>
      </c>
      <c r="D272" s="12">
        <v>27735564</v>
      </c>
      <c r="E272" t="str">
        <f>VLOOKUP(Ventas!A272,Asesores!$A$2:$C$12,2,FALSE)</f>
        <v>Robert Castaño</v>
      </c>
    </row>
    <row r="273" spans="1:5" ht="13.5" x14ac:dyDescent="0.25">
      <c r="A273" s="9">
        <v>1834</v>
      </c>
      <c r="B273" s="2" t="s">
        <v>20</v>
      </c>
      <c r="C273" s="15">
        <v>45231</v>
      </c>
      <c r="D273" s="12">
        <v>49825796</v>
      </c>
      <c r="E273" t="str">
        <f>VLOOKUP(Ventas!A273,Asesores!$A$2:$C$12,2,FALSE)</f>
        <v>Robert Castaño</v>
      </c>
    </row>
    <row r="274" spans="1:5" ht="13.5" x14ac:dyDescent="0.25">
      <c r="A274" s="9">
        <v>1373</v>
      </c>
      <c r="B274" s="2" t="s">
        <v>24</v>
      </c>
      <c r="C274" s="15">
        <v>45187</v>
      </c>
      <c r="D274" s="12">
        <v>68114314</v>
      </c>
      <c r="E274" t="str">
        <f>VLOOKUP(Ventas!A274,Asesores!$A$2:$C$12,2,FALSE)</f>
        <v>Beatriz Osorio</v>
      </c>
    </row>
    <row r="275" spans="1:5" ht="13.5" x14ac:dyDescent="0.25">
      <c r="A275" s="9">
        <v>1957</v>
      </c>
      <c r="B275" s="2" t="s">
        <v>23</v>
      </c>
      <c r="C275" s="14">
        <v>45223</v>
      </c>
      <c r="D275" s="12">
        <v>26202801</v>
      </c>
      <c r="E275" t="str">
        <f>VLOOKUP(Ventas!A275,Asesores!$A$2:$C$12,2,FALSE)</f>
        <v>Gilberto Hurtado</v>
      </c>
    </row>
    <row r="276" spans="1:5" ht="13.5" x14ac:dyDescent="0.25">
      <c r="A276" s="9">
        <v>1624</v>
      </c>
      <c r="B276" s="2" t="s">
        <v>20</v>
      </c>
      <c r="C276" s="15">
        <v>45205</v>
      </c>
      <c r="D276" s="12">
        <v>64309653</v>
      </c>
      <c r="E276" t="str">
        <f>VLOOKUP(Ventas!A276,Asesores!$A$2:$C$12,2,FALSE)</f>
        <v>Alejandro Villamil</v>
      </c>
    </row>
    <row r="277" spans="1:5" ht="13.5" x14ac:dyDescent="0.25">
      <c r="A277" s="9">
        <v>1708</v>
      </c>
      <c r="B277" s="2" t="s">
        <v>21</v>
      </c>
      <c r="C277" s="14">
        <v>45271</v>
      </c>
      <c r="D277" s="12">
        <v>58335226</v>
      </c>
      <c r="E277" t="str">
        <f>VLOOKUP(Ventas!A277,Asesores!$A$2:$C$12,2,FALSE)</f>
        <v>Vicky Ortiz</v>
      </c>
    </row>
    <row r="278" spans="1:5" ht="13.5" x14ac:dyDescent="0.25">
      <c r="A278" s="9">
        <v>1373</v>
      </c>
      <c r="B278" s="2" t="s">
        <v>22</v>
      </c>
      <c r="C278" s="15">
        <v>45263</v>
      </c>
      <c r="D278" s="12">
        <v>33531745</v>
      </c>
      <c r="E278" t="str">
        <f>VLOOKUP(Ventas!A278,Asesores!$A$2:$C$12,2,FALSE)</f>
        <v>Beatriz Osorio</v>
      </c>
    </row>
    <row r="279" spans="1:5" ht="13.5" x14ac:dyDescent="0.25">
      <c r="A279" s="9">
        <v>1624</v>
      </c>
      <c r="B279" s="2" t="s">
        <v>23</v>
      </c>
      <c r="C279" s="15">
        <v>45121</v>
      </c>
      <c r="D279" s="12">
        <v>12820582</v>
      </c>
      <c r="E279" t="str">
        <f>VLOOKUP(Ventas!A279,Asesores!$A$2:$C$12,2,FALSE)</f>
        <v>Alejandro Villamil</v>
      </c>
    </row>
    <row r="280" spans="1:5" ht="13.5" x14ac:dyDescent="0.25">
      <c r="A280" s="9">
        <v>1985</v>
      </c>
      <c r="B280" s="2" t="s">
        <v>23</v>
      </c>
      <c r="C280" s="14">
        <v>45272</v>
      </c>
      <c r="D280" s="12">
        <v>55203019</v>
      </c>
      <c r="E280" t="str">
        <f>VLOOKUP(Ventas!A280,Asesores!$A$2:$C$12,2,FALSE)</f>
        <v>Carolina Romero</v>
      </c>
    </row>
    <row r="281" spans="1:5" ht="13.5" x14ac:dyDescent="0.25">
      <c r="A281" s="9">
        <v>1373</v>
      </c>
      <c r="B281" s="2" t="s">
        <v>23</v>
      </c>
      <c r="C281" s="15">
        <v>45103</v>
      </c>
      <c r="D281" s="12">
        <v>42970580</v>
      </c>
      <c r="E281" t="str">
        <f>VLOOKUP(Ventas!A281,Asesores!$A$2:$C$12,2,FALSE)</f>
        <v>Beatriz Osorio</v>
      </c>
    </row>
    <row r="282" spans="1:5" ht="13.5" x14ac:dyDescent="0.25">
      <c r="A282" s="9">
        <v>1985</v>
      </c>
      <c r="B282" s="2" t="s">
        <v>23</v>
      </c>
      <c r="C282" s="15">
        <v>45162</v>
      </c>
      <c r="D282" s="12">
        <v>31754229</v>
      </c>
      <c r="E282" t="str">
        <f>VLOOKUP(Ventas!A282,Asesores!$A$2:$C$12,2,FALSE)</f>
        <v>Carolina Romero</v>
      </c>
    </row>
    <row r="283" spans="1:5" ht="13.5" x14ac:dyDescent="0.25">
      <c r="A283" s="9">
        <v>1708</v>
      </c>
      <c r="B283" s="2" t="s">
        <v>21</v>
      </c>
      <c r="C283" s="14">
        <v>45243</v>
      </c>
      <c r="D283" s="12">
        <v>21694582</v>
      </c>
      <c r="E283" t="str">
        <f>VLOOKUP(Ventas!A283,Asesores!$A$2:$C$12,2,FALSE)</f>
        <v>Vicky Ortiz</v>
      </c>
    </row>
    <row r="284" spans="1:5" ht="13.5" x14ac:dyDescent="0.25">
      <c r="A284" s="9">
        <v>1624</v>
      </c>
      <c r="B284" s="2" t="s">
        <v>23</v>
      </c>
      <c r="C284" s="15">
        <v>44990</v>
      </c>
      <c r="D284" s="12">
        <v>62594894</v>
      </c>
      <c r="E284" t="str">
        <f>VLOOKUP(Ventas!A284,Asesores!$A$2:$C$12,2,FALSE)</f>
        <v>Alejandro Villamil</v>
      </c>
    </row>
    <row r="285" spans="1:5" ht="13.5" x14ac:dyDescent="0.25">
      <c r="A285" s="9">
        <v>1708</v>
      </c>
      <c r="B285" s="2" t="s">
        <v>24</v>
      </c>
      <c r="C285" s="15">
        <v>44965</v>
      </c>
      <c r="D285" s="12">
        <v>41567081</v>
      </c>
      <c r="E285" t="str">
        <f>VLOOKUP(Ventas!A285,Asesores!$A$2:$C$12,2,FALSE)</f>
        <v>Vicky Ortiz</v>
      </c>
    </row>
    <row r="286" spans="1:5" ht="13.5" x14ac:dyDescent="0.25">
      <c r="A286" s="9">
        <v>1373</v>
      </c>
      <c r="B286" s="2" t="s">
        <v>24</v>
      </c>
      <c r="C286" s="15">
        <v>45200</v>
      </c>
      <c r="D286" s="12">
        <v>47707395</v>
      </c>
      <c r="E286" t="str">
        <f>VLOOKUP(Ventas!A286,Asesores!$A$2:$C$12,2,FALSE)</f>
        <v>Beatriz Osorio</v>
      </c>
    </row>
    <row r="287" spans="1:5" ht="13.5" x14ac:dyDescent="0.25">
      <c r="A287" s="9">
        <v>1728</v>
      </c>
      <c r="B287" s="2" t="s">
        <v>21</v>
      </c>
      <c r="C287" s="15">
        <v>45007</v>
      </c>
      <c r="D287" s="12">
        <v>11569473</v>
      </c>
      <c r="E287" t="str">
        <f>VLOOKUP(Ventas!A287,Asesores!$A$2:$C$12,2,FALSE)</f>
        <v>Nicolas Sanchez</v>
      </c>
    </row>
    <row r="288" spans="1:5" ht="13.5" x14ac:dyDescent="0.25">
      <c r="A288" s="9">
        <v>1834</v>
      </c>
      <c r="B288" s="2" t="s">
        <v>24</v>
      </c>
      <c r="C288" s="15">
        <v>44957</v>
      </c>
      <c r="D288" s="12">
        <v>55970180</v>
      </c>
      <c r="E288" t="str">
        <f>VLOOKUP(Ventas!A288,Asesores!$A$2:$C$12,2,FALSE)</f>
        <v>Robert Castaño</v>
      </c>
    </row>
    <row r="289" spans="1:5" ht="13.5" x14ac:dyDescent="0.25">
      <c r="A289" s="9">
        <v>1710</v>
      </c>
      <c r="B289" s="2" t="s">
        <v>22</v>
      </c>
      <c r="C289" s="15">
        <v>45058</v>
      </c>
      <c r="D289" s="12">
        <v>64205697</v>
      </c>
      <c r="E289" t="str">
        <f>VLOOKUP(Ventas!A289,Asesores!$A$2:$C$12,2,FALSE)</f>
        <v>Santiago Perez</v>
      </c>
    </row>
    <row r="290" spans="1:5" ht="13.5" x14ac:dyDescent="0.25">
      <c r="A290" s="9">
        <v>1373</v>
      </c>
      <c r="B290" s="2" t="s">
        <v>22</v>
      </c>
      <c r="C290" s="14">
        <v>45220</v>
      </c>
      <c r="D290" s="12">
        <v>42610507</v>
      </c>
      <c r="E290" t="str">
        <f>VLOOKUP(Ventas!A290,Asesores!$A$2:$C$12,2,FALSE)</f>
        <v>Beatriz Osorio</v>
      </c>
    </row>
    <row r="291" spans="1:5" ht="13.5" x14ac:dyDescent="0.25">
      <c r="A291" s="9">
        <v>1708</v>
      </c>
      <c r="B291" s="2" t="s">
        <v>23</v>
      </c>
      <c r="C291" s="15">
        <v>45131</v>
      </c>
      <c r="D291" s="12">
        <v>21562201</v>
      </c>
      <c r="E291" t="str">
        <f>VLOOKUP(Ventas!A291,Asesores!$A$2:$C$12,2,FALSE)</f>
        <v>Vicky Ortiz</v>
      </c>
    </row>
    <row r="292" spans="1:5" ht="13.5" x14ac:dyDescent="0.25">
      <c r="A292" s="9">
        <v>1708</v>
      </c>
      <c r="B292" s="2" t="s">
        <v>24</v>
      </c>
      <c r="C292" s="15">
        <v>45016</v>
      </c>
      <c r="D292" s="12">
        <v>46165454</v>
      </c>
      <c r="E292" t="str">
        <f>VLOOKUP(Ventas!A292,Asesores!$A$2:$C$12,2,FALSE)</f>
        <v>Vicky Ortiz</v>
      </c>
    </row>
    <row r="293" spans="1:5" ht="13.5" x14ac:dyDescent="0.25">
      <c r="A293" s="9">
        <v>1834</v>
      </c>
      <c r="B293" s="2" t="s">
        <v>21</v>
      </c>
      <c r="C293" s="15">
        <v>45151</v>
      </c>
      <c r="D293" s="12">
        <v>35896516</v>
      </c>
      <c r="E293" t="str">
        <f>VLOOKUP(Ventas!A293,Asesores!$A$2:$C$12,2,FALSE)</f>
        <v>Robert Castaño</v>
      </c>
    </row>
    <row r="294" spans="1:5" ht="13.5" x14ac:dyDescent="0.25">
      <c r="A294" s="9">
        <v>1728</v>
      </c>
      <c r="B294" s="2" t="s">
        <v>20</v>
      </c>
      <c r="C294" s="15">
        <v>44933</v>
      </c>
      <c r="D294" s="12">
        <v>28977309</v>
      </c>
      <c r="E294" t="str">
        <f>VLOOKUP(Ventas!A294,Asesores!$A$2:$C$12,2,FALSE)</f>
        <v>Nicolas Sanchez</v>
      </c>
    </row>
    <row r="295" spans="1:5" ht="13.5" x14ac:dyDescent="0.25">
      <c r="A295" s="9">
        <v>1624</v>
      </c>
      <c r="B295" s="2" t="s">
        <v>20</v>
      </c>
      <c r="C295" s="15">
        <v>45006</v>
      </c>
      <c r="D295" s="12">
        <v>55294361</v>
      </c>
      <c r="E295" t="str">
        <f>VLOOKUP(Ventas!A295,Asesores!$A$2:$C$12,2,FALSE)</f>
        <v>Alejandro Villamil</v>
      </c>
    </row>
    <row r="296" spans="1:5" ht="13.5" x14ac:dyDescent="0.25">
      <c r="A296" s="9">
        <v>1957</v>
      </c>
      <c r="B296" s="2" t="s">
        <v>22</v>
      </c>
      <c r="C296" s="15">
        <v>45176</v>
      </c>
      <c r="D296" s="12">
        <v>48204574</v>
      </c>
      <c r="E296" t="str">
        <f>VLOOKUP(Ventas!A296,Asesores!$A$2:$C$12,2,FALSE)</f>
        <v>Gilberto Hurtado</v>
      </c>
    </row>
    <row r="297" spans="1:5" ht="13.5" x14ac:dyDescent="0.25">
      <c r="A297" s="9">
        <v>1373</v>
      </c>
      <c r="B297" s="2" t="s">
        <v>20</v>
      </c>
      <c r="C297" s="15">
        <v>45148</v>
      </c>
      <c r="D297" s="12">
        <v>60932935</v>
      </c>
      <c r="E297" t="str">
        <f>VLOOKUP(Ventas!A297,Asesores!$A$2:$C$12,2,FALSE)</f>
        <v>Beatriz Osorio</v>
      </c>
    </row>
    <row r="298" spans="1:5" ht="13.5" x14ac:dyDescent="0.25">
      <c r="A298" s="9">
        <v>1624</v>
      </c>
      <c r="B298" s="2" t="s">
        <v>23</v>
      </c>
      <c r="C298" s="15">
        <v>45208</v>
      </c>
      <c r="D298" s="12">
        <v>25631102</v>
      </c>
      <c r="E298" t="str">
        <f>VLOOKUP(Ventas!A298,Asesores!$A$2:$C$12,2,FALSE)</f>
        <v>Alejandro Villamil</v>
      </c>
    </row>
    <row r="299" spans="1:5" ht="13.5" x14ac:dyDescent="0.25">
      <c r="A299" s="9">
        <v>1373</v>
      </c>
      <c r="B299" s="2" t="s">
        <v>20</v>
      </c>
      <c r="C299" s="15">
        <v>45147</v>
      </c>
      <c r="D299" s="12">
        <v>66432574</v>
      </c>
      <c r="E299" t="str">
        <f>VLOOKUP(Ventas!A299,Asesores!$A$2:$C$12,2,FALSE)</f>
        <v>Beatriz Osorio</v>
      </c>
    </row>
    <row r="300" spans="1:5" ht="13.5" x14ac:dyDescent="0.25">
      <c r="A300" s="9">
        <v>1373</v>
      </c>
      <c r="B300" s="2" t="s">
        <v>23</v>
      </c>
      <c r="C300" s="15">
        <v>44947</v>
      </c>
      <c r="D300" s="12">
        <v>17167425</v>
      </c>
      <c r="E300" t="str">
        <f>VLOOKUP(Ventas!A300,Asesores!$A$2:$C$12,2,FALSE)</f>
        <v>Beatriz Osorio</v>
      </c>
    </row>
    <row r="301" spans="1:5" ht="13.5" x14ac:dyDescent="0.25">
      <c r="A301" s="9">
        <v>1834</v>
      </c>
      <c r="B301" s="2" t="s">
        <v>24</v>
      </c>
      <c r="C301" s="15">
        <v>45047</v>
      </c>
      <c r="D301" s="12">
        <v>31003746</v>
      </c>
      <c r="E301" t="str">
        <f>VLOOKUP(Ventas!A301,Asesores!$A$2:$C$12,2,FALSE)</f>
        <v>Robert Castaño</v>
      </c>
    </row>
    <row r="302" spans="1:5" ht="13.5" x14ac:dyDescent="0.25">
      <c r="A302" s="9">
        <v>1624</v>
      </c>
      <c r="B302" s="2" t="s">
        <v>21</v>
      </c>
      <c r="C302" s="15">
        <v>45203</v>
      </c>
      <c r="D302" s="12">
        <v>38568064</v>
      </c>
      <c r="E302" t="str">
        <f>VLOOKUP(Ventas!A302,Asesores!$A$2:$C$12,2,FALSE)</f>
        <v>Alejandro Villamil</v>
      </c>
    </row>
    <row r="303" spans="1:5" ht="13.5" x14ac:dyDescent="0.25">
      <c r="A303" s="9">
        <v>1624</v>
      </c>
      <c r="B303" s="2" t="s">
        <v>20</v>
      </c>
      <c r="C303" s="15">
        <v>45157</v>
      </c>
      <c r="D303" s="12">
        <v>30040570</v>
      </c>
      <c r="E303" t="str">
        <f>VLOOKUP(Ventas!A303,Asesores!$A$2:$C$12,2,FALSE)</f>
        <v>Alejandro Villamil</v>
      </c>
    </row>
    <row r="304" spans="1:5" ht="13.5" x14ac:dyDescent="0.25">
      <c r="A304" s="9">
        <v>1728</v>
      </c>
      <c r="B304" s="2" t="s">
        <v>21</v>
      </c>
      <c r="C304" s="15">
        <v>45234</v>
      </c>
      <c r="D304" s="12">
        <v>51047790</v>
      </c>
      <c r="E304" t="str">
        <f>VLOOKUP(Ventas!A304,Asesores!$A$2:$C$12,2,FALSE)</f>
        <v>Nicolas Sanchez</v>
      </c>
    </row>
    <row r="305" spans="1:5" ht="13.5" x14ac:dyDescent="0.25">
      <c r="A305" s="9">
        <v>1728</v>
      </c>
      <c r="B305" s="2" t="s">
        <v>21</v>
      </c>
      <c r="C305" s="15">
        <v>45189</v>
      </c>
      <c r="D305" s="12">
        <v>37887002</v>
      </c>
      <c r="E305" t="str">
        <f>VLOOKUP(Ventas!A305,Asesores!$A$2:$C$12,2,FALSE)</f>
        <v>Nicolas Sanchez</v>
      </c>
    </row>
    <row r="306" spans="1:5" ht="13.5" x14ac:dyDescent="0.25">
      <c r="A306" s="9">
        <v>1624</v>
      </c>
      <c r="B306" s="2" t="s">
        <v>24</v>
      </c>
      <c r="C306" s="15">
        <v>45157</v>
      </c>
      <c r="D306" s="12">
        <v>31575830</v>
      </c>
      <c r="E306" t="str">
        <f>VLOOKUP(Ventas!A306,Asesores!$A$2:$C$12,2,FALSE)</f>
        <v>Alejandro Villamil</v>
      </c>
    </row>
  </sheetData>
  <phoneticPr fontId="13" type="noConversion"/>
  <conditionalFormatting sqref="D7:D306">
    <cfRule type="cellIs" dxfId="73" priority="5" operator="greaterThan">
      <formula>40000000</formula>
    </cfRule>
    <cfRule type="cellIs" dxfId="72" priority="6" operator="lessThanOrEqual">
      <formula>40000000</formula>
    </cfRule>
  </conditionalFormatting>
  <conditionalFormatting sqref="D1:D306">
    <cfRule type="iconSet" priority="1">
      <iconSet iconSet="5Quarters">
        <cfvo type="percent" val="0"/>
        <cfvo type="percent" val="25"/>
        <cfvo type="percent" val="50"/>
        <cfvo type="percent" val="75"/>
        <cfvo type="percent" val="90"/>
      </iconSet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F89C-425D-412D-A491-B09BBF8BE414}">
  <sheetPr codeName="Hoja5"/>
  <dimension ref="A1:E4"/>
  <sheetViews>
    <sheetView showGridLines="0" tabSelected="1" zoomScale="80" zoomScaleNormal="80" workbookViewId="0">
      <selection activeCell="P26" sqref="P26"/>
    </sheetView>
  </sheetViews>
  <sheetFormatPr baseColWidth="10" defaultRowHeight="13.5" x14ac:dyDescent="0.25"/>
  <cols>
    <col min="1" max="1" width="23.42578125" style="19" customWidth="1"/>
    <col min="2" max="2" width="11.5703125" style="19" customWidth="1"/>
    <col min="3" max="4" width="19.28515625" style="19" customWidth="1"/>
    <col min="5" max="5" width="19.42578125" style="19" customWidth="1"/>
    <col min="6" max="11" width="11.42578125" style="19"/>
    <col min="12" max="12" width="17.28515625" style="19" customWidth="1"/>
    <col min="13" max="13" width="23.42578125" style="19" customWidth="1"/>
    <col min="14" max="14" width="14.85546875" style="19" customWidth="1"/>
    <col min="15" max="15" width="22" style="19" customWidth="1"/>
    <col min="16" max="16" width="19.28515625" style="19" customWidth="1"/>
    <col min="17" max="17" width="19.42578125" style="19" customWidth="1"/>
    <col min="18" max="16384" width="11.42578125" style="19"/>
  </cols>
  <sheetData>
    <row r="1" spans="1:5" ht="19.5" thickBot="1" x14ac:dyDescent="0.35">
      <c r="A1" s="37" t="s">
        <v>69</v>
      </c>
      <c r="B1" s="38"/>
      <c r="C1" s="38"/>
      <c r="D1" s="38"/>
      <c r="E1" s="39"/>
    </row>
    <row r="2" spans="1:5" x14ac:dyDescent="0.25">
      <c r="A2" s="35" t="s">
        <v>54</v>
      </c>
      <c r="B2" s="40" t="s">
        <v>70</v>
      </c>
      <c r="C2" s="42" t="s">
        <v>55</v>
      </c>
      <c r="D2" s="44" t="s">
        <v>55</v>
      </c>
      <c r="E2" s="46" t="s">
        <v>55</v>
      </c>
    </row>
    <row r="3" spans="1:5" ht="15" customHeight="1" x14ac:dyDescent="0.25">
      <c r="A3" s="36"/>
      <c r="B3" s="41"/>
      <c r="C3" s="43"/>
      <c r="D3" s="45"/>
      <c r="E3" s="47"/>
    </row>
    <row r="4" spans="1:5" ht="12.75" customHeight="1" x14ac:dyDescent="0.25">
      <c r="A4" s="26">
        <f>GETPIVOTDATA("Suma de Venta",'Tablas dinamicas'!$A$3)</f>
        <v>11474139690</v>
      </c>
      <c r="B4" s="27">
        <f>GETPIVOTDATA("Cantidad de ventas",'Tablas dinamicas'!$A$3)</f>
        <v>300</v>
      </c>
      <c r="C4" s="28">
        <f>GETPIVOTDATA("Promedio de Venta",'Tablas dinamicas'!$A$3)</f>
        <v>38247132.299999997</v>
      </c>
      <c r="D4" s="29">
        <f>GETPIVOTDATA("Mín. de Venta",'Tablas dinamicas'!$A$3)</f>
        <v>10468482</v>
      </c>
      <c r="E4" s="30">
        <f>GETPIVOTDATA("Máx. de Ventas",'Tablas dinamicas'!$A$3)</f>
        <v>69803402</v>
      </c>
    </row>
  </sheetData>
  <mergeCells count="6">
    <mergeCell ref="A2:A3"/>
    <mergeCell ref="A1:E1"/>
    <mergeCell ref="B2:B3"/>
    <mergeCell ref="C2:C3"/>
    <mergeCell ref="D2:D3"/>
    <mergeCell ref="E2:E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BD20-EE71-42AB-853A-EE3E73ABD5D7}">
  <sheetPr codeName="Hoja4"/>
  <dimension ref="E3:L8"/>
  <sheetViews>
    <sheetView showGridLines="0" workbookViewId="0">
      <selection activeCell="D15" sqref="D15"/>
    </sheetView>
  </sheetViews>
  <sheetFormatPr baseColWidth="10" defaultRowHeight="13.5" x14ac:dyDescent="0.25"/>
  <sheetData>
    <row r="3" spans="5:12" ht="14.25" thickBot="1" x14ac:dyDescent="0.3">
      <c r="E3" s="48" t="s">
        <v>53</v>
      </c>
      <c r="F3" s="48"/>
      <c r="G3" s="48"/>
      <c r="H3" s="48"/>
      <c r="I3" s="48"/>
      <c r="J3" s="48"/>
      <c r="K3" s="48"/>
      <c r="L3" s="48"/>
    </row>
    <row r="4" spans="5:12" ht="15" thickTop="1" thickBot="1" x14ac:dyDescent="0.3">
      <c r="E4" s="48"/>
      <c r="F4" s="48"/>
      <c r="G4" s="48"/>
      <c r="H4" s="48"/>
      <c r="I4" s="48"/>
      <c r="J4" s="48"/>
      <c r="K4" s="48"/>
      <c r="L4" s="48"/>
    </row>
    <row r="5" spans="5:12" ht="15" thickTop="1" thickBot="1" x14ac:dyDescent="0.3">
      <c r="E5" s="48"/>
      <c r="F5" s="48"/>
      <c r="G5" s="48"/>
      <c r="H5" s="48"/>
      <c r="I5" s="48"/>
      <c r="J5" s="48"/>
      <c r="K5" s="48"/>
      <c r="L5" s="48"/>
    </row>
    <row r="6" spans="5:12" ht="25.5" customHeight="1" thickTop="1" thickBot="1" x14ac:dyDescent="0.3">
      <c r="E6" s="48"/>
      <c r="F6" s="48"/>
      <c r="G6" s="48"/>
      <c r="H6" s="48"/>
      <c r="I6" s="48"/>
      <c r="J6" s="48"/>
      <c r="K6" s="48"/>
      <c r="L6" s="48"/>
    </row>
    <row r="7" spans="5:12" ht="15" thickTop="1" thickBot="1" x14ac:dyDescent="0.3">
      <c r="E7" s="48"/>
      <c r="F7" s="48"/>
      <c r="G7" s="48"/>
      <c r="H7" s="48"/>
      <c r="I7" s="48"/>
      <c r="J7" s="48"/>
      <c r="K7" s="48"/>
      <c r="L7" s="48"/>
    </row>
    <row r="8" spans="5:12" ht="14.25" thickTop="1" x14ac:dyDescent="0.25"/>
  </sheetData>
  <mergeCells count="1">
    <mergeCell ref="E3:L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formulario_asesores">
                <anchor moveWithCells="1" sizeWithCells="1">
                  <from>
                    <xdr:col>1</xdr:col>
                    <xdr:colOff>0</xdr:colOff>
                    <xdr:row>4</xdr:row>
                    <xdr:rowOff>38100</xdr:rowOff>
                  </from>
                  <to>
                    <xdr:col>3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B8C0A-387E-4779-B7BA-65707979009D}">
  <dimension ref="A1"/>
  <sheetViews>
    <sheetView workbookViewId="0"/>
  </sheetViews>
  <sheetFormatPr baseColWidth="10" defaultRowHeight="13.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D7C34-FDAC-41B4-A3C2-A3F4C649C1CC}">
  <sheetPr codeName="Hoja3"/>
  <dimension ref="A3:DS63"/>
  <sheetViews>
    <sheetView workbookViewId="0">
      <selection activeCell="F3" sqref="F3"/>
    </sheetView>
  </sheetViews>
  <sheetFormatPr baseColWidth="10" defaultRowHeight="13.5" x14ac:dyDescent="0.25"/>
  <cols>
    <col min="1" max="1" width="18.85546875" bestFit="1" customWidth="1"/>
    <col min="2" max="2" width="23.7109375" bestFit="1" customWidth="1"/>
    <col min="3" max="3" width="15.7109375" bestFit="1" customWidth="1"/>
    <col min="4" max="4" width="16.85546875" bestFit="1" customWidth="1"/>
    <col min="5" max="5" width="16.7109375" bestFit="1" customWidth="1"/>
    <col min="6" max="6" width="16.42578125" bestFit="1" customWidth="1"/>
    <col min="7" max="11" width="15.7109375" bestFit="1" customWidth="1"/>
    <col min="12" max="12" width="18.42578125" bestFit="1" customWidth="1"/>
    <col min="13" max="13" width="12.140625" bestFit="1" customWidth="1"/>
    <col min="14" max="14" width="16.85546875" bestFit="1" customWidth="1"/>
    <col min="15" max="15" width="12.140625" bestFit="1" customWidth="1"/>
    <col min="16" max="16" width="16.85546875" bestFit="1" customWidth="1"/>
    <col min="17" max="17" width="12.140625" bestFit="1" customWidth="1"/>
    <col min="18" max="18" width="16.85546875" bestFit="1" customWidth="1"/>
    <col min="19" max="19" width="12.140625" bestFit="1" customWidth="1"/>
    <col min="20" max="20" width="20.28515625" bestFit="1" customWidth="1"/>
    <col min="21" max="21" width="16.7109375" bestFit="1" customWidth="1"/>
    <col min="22" max="22" width="18" bestFit="1" customWidth="1"/>
    <col min="23" max="23" width="9.85546875" bestFit="1" customWidth="1"/>
    <col min="24" max="24" width="5" bestFit="1" customWidth="1"/>
    <col min="25" max="25" width="8.85546875" bestFit="1" customWidth="1"/>
    <col min="26" max="26" width="7.42578125" bestFit="1" customWidth="1"/>
    <col min="27" max="27" width="6.140625" bestFit="1" customWidth="1"/>
    <col min="28" max="28" width="32.7109375" bestFit="1" customWidth="1"/>
    <col min="29" max="29" width="31.85546875" bestFit="1" customWidth="1"/>
    <col min="30" max="30" width="18.85546875" bestFit="1" customWidth="1"/>
    <col min="31" max="31" width="9.85546875" bestFit="1" customWidth="1"/>
    <col min="32" max="32" width="9" bestFit="1" customWidth="1"/>
    <col min="33" max="33" width="12" bestFit="1" customWidth="1"/>
    <col min="34" max="34" width="9" bestFit="1" customWidth="1"/>
    <col min="35" max="35" width="12" bestFit="1" customWidth="1"/>
    <col min="36" max="36" width="18" bestFit="1" customWidth="1"/>
    <col min="37" max="37" width="9.85546875" bestFit="1" customWidth="1"/>
    <col min="38" max="38" width="5" bestFit="1" customWidth="1"/>
    <col min="39" max="39" width="8.85546875" bestFit="1" customWidth="1"/>
    <col min="40" max="40" width="7.42578125" bestFit="1" customWidth="1"/>
    <col min="41" max="41" width="6.140625" bestFit="1" customWidth="1"/>
    <col min="42" max="42" width="35.5703125" bestFit="1" customWidth="1"/>
    <col min="43" max="43" width="34.7109375" bestFit="1" customWidth="1"/>
    <col min="44" max="44" width="18.85546875" bestFit="1" customWidth="1"/>
    <col min="45" max="45" width="12" bestFit="1" customWidth="1"/>
    <col min="46" max="46" width="9" bestFit="1" customWidth="1"/>
    <col min="47" max="49" width="12" bestFit="1" customWidth="1"/>
    <col min="50" max="50" width="18" bestFit="1" customWidth="1"/>
    <col min="51" max="51" width="9.85546875" bestFit="1" customWidth="1"/>
    <col min="52" max="52" width="5" bestFit="1" customWidth="1"/>
    <col min="53" max="53" width="8.85546875" bestFit="1" customWidth="1"/>
    <col min="54" max="54" width="7.42578125" bestFit="1" customWidth="1"/>
    <col min="55" max="55" width="6.140625" bestFit="1" customWidth="1"/>
    <col min="56" max="56" width="35.42578125" bestFit="1" customWidth="1"/>
    <col min="57" max="57" width="34.5703125" bestFit="1" customWidth="1"/>
    <col min="58" max="58" width="18.85546875" bestFit="1" customWidth="1"/>
    <col min="59" max="59" width="11" bestFit="1" customWidth="1"/>
    <col min="60" max="60" width="12" bestFit="1" customWidth="1"/>
    <col min="61" max="62" width="11" bestFit="1" customWidth="1"/>
    <col min="63" max="63" width="12" bestFit="1" customWidth="1"/>
    <col min="64" max="64" width="18" bestFit="1" customWidth="1"/>
    <col min="65" max="65" width="9.85546875" bestFit="1" customWidth="1"/>
    <col min="66" max="66" width="5" bestFit="1" customWidth="1"/>
    <col min="67" max="67" width="8.85546875" bestFit="1" customWidth="1"/>
    <col min="68" max="68" width="7.42578125" bestFit="1" customWidth="1"/>
    <col min="69" max="69" width="6.140625" bestFit="1" customWidth="1"/>
    <col min="70" max="70" width="35.140625" bestFit="1" customWidth="1"/>
    <col min="71" max="71" width="34.28515625" bestFit="1" customWidth="1"/>
    <col min="72" max="72" width="18.85546875" bestFit="1" customWidth="1"/>
    <col min="73" max="73" width="11" bestFit="1" customWidth="1"/>
    <col min="74" max="74" width="9" bestFit="1" customWidth="1"/>
    <col min="75" max="76" width="12" bestFit="1" customWidth="1"/>
    <col min="77" max="77" width="11" bestFit="1" customWidth="1"/>
    <col min="78" max="78" width="18" bestFit="1" customWidth="1"/>
    <col min="79" max="79" width="9.85546875" bestFit="1" customWidth="1"/>
    <col min="80" max="80" width="5" bestFit="1" customWidth="1"/>
    <col min="81" max="81" width="8.85546875" bestFit="1" customWidth="1"/>
    <col min="82" max="82" width="7.42578125" bestFit="1" customWidth="1"/>
    <col min="83" max="83" width="6.140625" bestFit="1" customWidth="1"/>
    <col min="84" max="84" width="34.140625" bestFit="1" customWidth="1"/>
    <col min="85" max="85" width="33.28515625" bestFit="1" customWidth="1"/>
    <col min="86" max="86" width="18.85546875" bestFit="1" customWidth="1"/>
    <col min="87" max="88" width="11" bestFit="1" customWidth="1"/>
    <col min="89" max="89" width="12" bestFit="1" customWidth="1"/>
    <col min="90" max="90" width="11" bestFit="1" customWidth="1"/>
    <col min="91" max="91" width="9" bestFit="1" customWidth="1"/>
    <col min="92" max="92" width="18" bestFit="1" customWidth="1"/>
    <col min="93" max="93" width="9.85546875" bestFit="1" customWidth="1"/>
    <col min="94" max="94" width="5" bestFit="1" customWidth="1"/>
    <col min="95" max="95" width="8.85546875" bestFit="1" customWidth="1"/>
    <col min="96" max="96" width="7.42578125" bestFit="1" customWidth="1"/>
    <col min="97" max="97" width="6.140625" bestFit="1" customWidth="1"/>
    <col min="98" max="98" width="32.42578125" bestFit="1" customWidth="1"/>
    <col min="99" max="99" width="31.5703125" bestFit="1" customWidth="1"/>
    <col min="100" max="100" width="18.85546875" bestFit="1" customWidth="1"/>
    <col min="101" max="101" width="12" bestFit="1" customWidth="1"/>
    <col min="102" max="102" width="9" bestFit="1" customWidth="1"/>
    <col min="103" max="103" width="12" bestFit="1" customWidth="1"/>
    <col min="104" max="104" width="18" bestFit="1" customWidth="1"/>
    <col min="105" max="105" width="8.85546875" bestFit="1" customWidth="1"/>
    <col min="106" max="106" width="7.42578125" bestFit="1" customWidth="1"/>
    <col min="107" max="107" width="6.140625" bestFit="1" customWidth="1"/>
    <col min="108" max="108" width="33.5703125" bestFit="1" customWidth="1"/>
    <col min="109" max="109" width="32.7109375" bestFit="1" customWidth="1"/>
    <col min="110" max="110" width="18.85546875" bestFit="1" customWidth="1"/>
    <col min="111" max="112" width="12" bestFit="1" customWidth="1"/>
    <col min="113" max="113" width="9" bestFit="1" customWidth="1"/>
    <col min="114" max="114" width="11" bestFit="1" customWidth="1"/>
    <col min="115" max="115" width="18" bestFit="1" customWidth="1"/>
    <col min="116" max="116" width="9.85546875" bestFit="1" customWidth="1"/>
    <col min="117" max="117" width="8.85546875" bestFit="1" customWidth="1"/>
    <col min="118" max="118" width="7.42578125" bestFit="1" customWidth="1"/>
    <col min="119" max="119" width="6.140625" bestFit="1" customWidth="1"/>
    <col min="120" max="120" width="29.85546875" bestFit="1" customWidth="1"/>
    <col min="121" max="121" width="29" bestFit="1" customWidth="1"/>
    <col min="122" max="122" width="24" bestFit="1" customWidth="1"/>
    <col min="123" max="123" width="23.140625" bestFit="1" customWidth="1"/>
    <col min="124" max="124" width="12" customWidth="1"/>
    <col min="125" max="125" width="14.85546875" bestFit="1" customWidth="1"/>
    <col min="126" max="126" width="10.42578125" bestFit="1" customWidth="1"/>
    <col min="127" max="127" width="12.5703125" bestFit="1" customWidth="1"/>
    <col min="128" max="128" width="10.42578125" bestFit="1" customWidth="1"/>
    <col min="129" max="129" width="12.5703125" bestFit="1" customWidth="1"/>
    <col min="130" max="130" width="10.42578125" bestFit="1" customWidth="1"/>
    <col min="131" max="131" width="16" bestFit="1" customWidth="1"/>
    <col min="132" max="132" width="14.140625" bestFit="1" customWidth="1"/>
    <col min="133" max="133" width="10.42578125" bestFit="1" customWidth="1"/>
    <col min="134" max="134" width="12.5703125" bestFit="1" customWidth="1"/>
    <col min="135" max="135" width="14.140625" bestFit="1" customWidth="1"/>
    <col min="136" max="136" width="10.5703125" bestFit="1" customWidth="1"/>
    <col min="137" max="137" width="14.85546875" bestFit="1" customWidth="1"/>
    <col min="138" max="138" width="10.42578125" bestFit="1" customWidth="1"/>
    <col min="139" max="139" width="11.7109375" bestFit="1" customWidth="1"/>
    <col min="140" max="140" width="10.5703125" bestFit="1" customWidth="1"/>
    <col min="141" max="141" width="13.140625" bestFit="1" customWidth="1"/>
    <col min="142" max="142" width="10.5703125" bestFit="1" customWidth="1"/>
    <col min="143" max="143" width="16" bestFit="1" customWidth="1"/>
    <col min="144" max="144" width="11.7109375" bestFit="1" customWidth="1"/>
    <col min="145" max="145" width="10.5703125" bestFit="1" customWidth="1"/>
    <col min="146" max="146" width="12.5703125" bestFit="1" customWidth="1"/>
    <col min="147" max="147" width="13.140625" bestFit="1" customWidth="1"/>
    <col min="148" max="148" width="11.7109375" bestFit="1" customWidth="1"/>
    <col min="149" max="149" width="10.5703125" bestFit="1" customWidth="1"/>
    <col min="150" max="150" width="13.140625" bestFit="1" customWidth="1"/>
    <col min="151" max="151" width="10.28515625" bestFit="1" customWidth="1"/>
    <col min="152" max="152" width="16" bestFit="1" customWidth="1"/>
    <col min="153" max="153" width="14.85546875" bestFit="1" customWidth="1"/>
    <col min="154" max="154" width="10.42578125" bestFit="1" customWidth="1"/>
    <col min="155" max="155" width="14.85546875" bestFit="1" customWidth="1"/>
    <col min="156" max="156" width="10.42578125" bestFit="1" customWidth="1"/>
    <col min="157" max="157" width="12.5703125" bestFit="1" customWidth="1"/>
    <col min="158" max="158" width="11" bestFit="1" customWidth="1"/>
    <col min="159" max="159" width="12.5703125" bestFit="1" customWidth="1"/>
    <col min="160" max="160" width="14.85546875" bestFit="1" customWidth="1"/>
    <col min="161" max="161" width="12.7109375" bestFit="1" customWidth="1"/>
    <col min="162" max="162" width="11.140625" bestFit="1" customWidth="1"/>
    <col min="163" max="163" width="16" bestFit="1" customWidth="1"/>
    <col min="164" max="164" width="11.140625" bestFit="1" customWidth="1"/>
    <col min="165" max="165" width="10.140625" bestFit="1" customWidth="1"/>
    <col min="166" max="166" width="11.140625" bestFit="1" customWidth="1"/>
    <col min="167" max="167" width="16" bestFit="1" customWidth="1"/>
    <col min="168" max="168" width="11.140625" bestFit="1" customWidth="1"/>
    <col min="169" max="169" width="14.85546875" bestFit="1" customWidth="1"/>
    <col min="170" max="170" width="11.140625" bestFit="1" customWidth="1"/>
    <col min="171" max="171" width="12.5703125" bestFit="1" customWidth="1"/>
    <col min="172" max="172" width="11.140625" bestFit="1" customWidth="1"/>
    <col min="173" max="173" width="12.5703125" bestFit="1" customWidth="1"/>
    <col min="174" max="174" width="14.140625" bestFit="1" customWidth="1"/>
    <col min="175" max="175" width="11.7109375" bestFit="1" customWidth="1"/>
    <col min="176" max="176" width="10.140625" bestFit="1" customWidth="1"/>
    <col min="177" max="177" width="11.28515625" bestFit="1" customWidth="1"/>
    <col min="178" max="178" width="14.85546875" bestFit="1" customWidth="1"/>
    <col min="179" max="179" width="11.28515625" bestFit="1" customWidth="1"/>
    <col min="180" max="180" width="14.85546875" bestFit="1" customWidth="1"/>
    <col min="181" max="181" width="14.140625" bestFit="1" customWidth="1"/>
    <col min="182" max="182" width="11.28515625" bestFit="1" customWidth="1"/>
    <col min="183" max="183" width="14.85546875" bestFit="1" customWidth="1"/>
    <col min="184" max="184" width="14.140625" bestFit="1" customWidth="1"/>
    <col min="185" max="185" width="11.28515625" bestFit="1" customWidth="1"/>
    <col min="186" max="186" width="16" bestFit="1" customWidth="1"/>
    <col min="187" max="187" width="11.28515625" bestFit="1" customWidth="1"/>
    <col min="188" max="188" width="16" bestFit="1" customWidth="1"/>
    <col min="189" max="189" width="11.28515625" bestFit="1" customWidth="1"/>
    <col min="190" max="190" width="12.5703125" bestFit="1" customWidth="1"/>
    <col min="191" max="191" width="14.85546875" bestFit="1" customWidth="1"/>
    <col min="192" max="192" width="10.140625" bestFit="1" customWidth="1"/>
    <col min="193" max="193" width="11.28515625" bestFit="1" customWidth="1"/>
    <col min="194" max="194" width="10.140625" bestFit="1" customWidth="1"/>
    <col min="195" max="195" width="11.28515625" bestFit="1" customWidth="1"/>
    <col min="196" max="196" width="12.5703125" bestFit="1" customWidth="1"/>
    <col min="197" max="197" width="9.5703125" bestFit="1" customWidth="1"/>
    <col min="198" max="198" width="12.5703125" bestFit="1" customWidth="1"/>
    <col min="199" max="199" width="9.7109375" bestFit="1" customWidth="1"/>
    <col min="200" max="200" width="10.140625" bestFit="1" customWidth="1"/>
    <col min="201" max="201" width="9.7109375" bestFit="1" customWidth="1"/>
    <col min="202" max="202" width="14.140625" bestFit="1" customWidth="1"/>
    <col min="203" max="203" width="9.7109375" bestFit="1" customWidth="1"/>
    <col min="204" max="204" width="14.85546875" bestFit="1" customWidth="1"/>
    <col min="205" max="205" width="14.140625" bestFit="1" customWidth="1"/>
    <col min="206" max="206" width="9.7109375" bestFit="1" customWidth="1"/>
    <col min="207" max="207" width="11.7109375" bestFit="1" customWidth="1"/>
    <col min="208" max="208" width="9.7109375" bestFit="1" customWidth="1"/>
    <col min="209" max="209" width="14.140625" bestFit="1" customWidth="1"/>
    <col min="210" max="210" width="9.7109375" bestFit="1" customWidth="1"/>
    <col min="211" max="211" width="11.7109375" bestFit="1" customWidth="1"/>
    <col min="212" max="212" width="10.28515625" bestFit="1" customWidth="1"/>
    <col min="213" max="213" width="16" bestFit="1" customWidth="1"/>
    <col min="214" max="214" width="11.7109375" bestFit="1" customWidth="1"/>
    <col min="215" max="215" width="10.42578125" bestFit="1" customWidth="1"/>
    <col min="216" max="217" width="14.85546875" bestFit="1" customWidth="1"/>
    <col min="218" max="218" width="14.140625" bestFit="1" customWidth="1"/>
    <col min="219" max="219" width="10.42578125" bestFit="1" customWidth="1"/>
    <col min="220" max="220" width="14.85546875" bestFit="1" customWidth="1"/>
    <col min="221" max="221" width="10.5703125" bestFit="1" customWidth="1"/>
    <col min="222" max="222" width="12.5703125" bestFit="1" customWidth="1"/>
    <col min="223" max="223" width="11.7109375" bestFit="1" customWidth="1"/>
    <col min="224" max="224" width="10.5703125" bestFit="1" customWidth="1"/>
    <col min="225" max="225" width="12.5703125" bestFit="1" customWidth="1"/>
    <col min="226" max="226" width="10.5703125" bestFit="1" customWidth="1"/>
    <col min="227" max="227" width="12.5703125" bestFit="1" customWidth="1"/>
    <col min="228" max="228" width="10.5703125" bestFit="1" customWidth="1"/>
    <col min="229" max="229" width="11.7109375" bestFit="1" customWidth="1"/>
    <col min="230" max="230" width="10.5703125" bestFit="1" customWidth="1"/>
    <col min="231" max="231" width="11.7109375" bestFit="1" customWidth="1"/>
    <col min="232" max="232" width="10.5703125" bestFit="1" customWidth="1"/>
    <col min="233" max="234" width="14.85546875" bestFit="1" customWidth="1"/>
    <col min="235" max="235" width="10.140625" bestFit="1" customWidth="1"/>
    <col min="236" max="236" width="9.28515625" bestFit="1" customWidth="1"/>
    <col min="237" max="237" width="12.5703125" bestFit="1" customWidth="1"/>
    <col min="238" max="238" width="14.140625" bestFit="1" customWidth="1"/>
    <col min="239" max="239" width="9.28515625" bestFit="1" customWidth="1"/>
    <col min="240" max="240" width="16" bestFit="1" customWidth="1"/>
    <col min="241" max="241" width="10" bestFit="1" customWidth="1"/>
    <col min="242" max="242" width="14.140625" bestFit="1" customWidth="1"/>
    <col min="243" max="243" width="10" bestFit="1" customWidth="1"/>
    <col min="244" max="244" width="16" bestFit="1" customWidth="1"/>
    <col min="245" max="245" width="10.140625" bestFit="1" customWidth="1"/>
    <col min="246" max="246" width="10" bestFit="1" customWidth="1"/>
    <col min="247" max="247" width="16" bestFit="1" customWidth="1"/>
    <col min="248" max="248" width="10.140625" bestFit="1" customWidth="1"/>
    <col min="249" max="249" width="10" bestFit="1" customWidth="1"/>
    <col min="250" max="250" width="14.85546875" bestFit="1" customWidth="1"/>
    <col min="251" max="251" width="10" bestFit="1" customWidth="1"/>
    <col min="252" max="252" width="14.85546875" bestFit="1" customWidth="1"/>
    <col min="253" max="253" width="10" bestFit="1" customWidth="1"/>
    <col min="254" max="254" width="10.140625" bestFit="1" customWidth="1"/>
    <col min="255" max="255" width="10" bestFit="1" customWidth="1"/>
    <col min="256" max="256" width="12.5703125" bestFit="1" customWidth="1"/>
    <col min="257" max="257" width="10.140625" bestFit="1" customWidth="1"/>
    <col min="258" max="258" width="14.140625" bestFit="1" customWidth="1"/>
    <col min="259" max="259" width="11.7109375" bestFit="1" customWidth="1"/>
    <col min="260" max="260" width="10" bestFit="1" customWidth="1"/>
    <col min="261" max="261" width="12.5703125" bestFit="1" customWidth="1"/>
    <col min="262" max="262" width="12.7109375" bestFit="1" customWidth="1"/>
    <col min="263" max="265" width="10.140625" bestFit="1" customWidth="1"/>
    <col min="266" max="266" width="14.85546875" bestFit="1" customWidth="1"/>
    <col min="267" max="267" width="10.140625" bestFit="1" customWidth="1"/>
    <col min="268" max="268" width="13.140625" bestFit="1" customWidth="1"/>
    <col min="269" max="269" width="10.140625" bestFit="1" customWidth="1"/>
    <col min="270" max="270" width="16" bestFit="1" customWidth="1"/>
    <col min="271" max="271" width="14.85546875" bestFit="1" customWidth="1"/>
    <col min="272" max="272" width="10" bestFit="1" customWidth="1"/>
    <col min="273" max="274" width="14.85546875" bestFit="1" customWidth="1"/>
    <col min="275" max="275" width="13.140625" bestFit="1" customWidth="1"/>
    <col min="276" max="276" width="10" bestFit="1" customWidth="1"/>
    <col min="277" max="277" width="12.5703125" bestFit="1" customWidth="1"/>
    <col min="278" max="278" width="10" bestFit="1" customWidth="1"/>
    <col min="279" max="279" width="12.5703125" bestFit="1" customWidth="1"/>
    <col min="280" max="280" width="10" bestFit="1" customWidth="1"/>
    <col min="281" max="281" width="13.140625" bestFit="1" customWidth="1"/>
    <col min="282" max="282" width="10" bestFit="1" customWidth="1"/>
    <col min="283" max="283" width="12.5703125" bestFit="1" customWidth="1"/>
    <col min="284" max="284" width="10" bestFit="1" customWidth="1"/>
    <col min="285" max="285" width="12.5703125" bestFit="1" customWidth="1"/>
    <col min="286" max="286" width="10.7109375" bestFit="1" customWidth="1"/>
    <col min="287" max="287" width="14.85546875" bestFit="1" customWidth="1"/>
    <col min="288" max="288" width="13.140625" bestFit="1" customWidth="1"/>
    <col min="289" max="289" width="10.7109375" bestFit="1" customWidth="1"/>
    <col min="290" max="290" width="12.5703125" bestFit="1" customWidth="1"/>
    <col min="291" max="291" width="10.7109375" bestFit="1" customWidth="1"/>
    <col min="292" max="292" width="14.85546875" bestFit="1" customWidth="1"/>
    <col min="293" max="293" width="10.7109375" bestFit="1" customWidth="1"/>
    <col min="294" max="294" width="12.5703125" bestFit="1" customWidth="1"/>
    <col min="295" max="295" width="14.85546875" bestFit="1" customWidth="1"/>
    <col min="296" max="296" width="14.140625" bestFit="1" customWidth="1"/>
    <col min="297" max="297" width="10.7109375" bestFit="1" customWidth="1"/>
    <col min="298" max="298" width="16" bestFit="1" customWidth="1"/>
    <col min="299" max="299" width="10.7109375" bestFit="1" customWidth="1"/>
    <col min="300" max="300" width="14.85546875" bestFit="1" customWidth="1"/>
    <col min="301" max="301" width="11.7109375" bestFit="1" customWidth="1"/>
    <col min="302" max="302" width="10.85546875" bestFit="1" customWidth="1"/>
    <col min="303" max="303" width="16" bestFit="1" customWidth="1"/>
    <col min="304" max="304" width="14.85546875" bestFit="1" customWidth="1"/>
    <col min="305" max="305" width="10.85546875" bestFit="1" customWidth="1"/>
    <col min="306" max="307" width="14.85546875" bestFit="1" customWidth="1"/>
    <col min="308" max="308" width="10.85546875" bestFit="1" customWidth="1"/>
    <col min="309" max="309" width="14.140625" bestFit="1" customWidth="1"/>
    <col min="310" max="310" width="10.85546875" bestFit="1" customWidth="1"/>
    <col min="311" max="311" width="12.5703125" bestFit="1" customWidth="1"/>
    <col min="312" max="312" width="12.7109375" bestFit="1" customWidth="1"/>
    <col min="313" max="313" width="10.85546875" bestFit="1" customWidth="1"/>
    <col min="314" max="314" width="14.85546875" bestFit="1" customWidth="1"/>
    <col min="315" max="315" width="9.5703125" bestFit="1" customWidth="1"/>
    <col min="316" max="316" width="12.5703125" bestFit="1" customWidth="1"/>
    <col min="317" max="317" width="14.85546875" bestFit="1" customWidth="1"/>
    <col min="318" max="318" width="9.7109375" bestFit="1" customWidth="1"/>
    <col min="319" max="319" width="12.7109375" bestFit="1" customWidth="1"/>
    <col min="320" max="320" width="9.7109375" bestFit="1" customWidth="1"/>
    <col min="321" max="321" width="16" bestFit="1" customWidth="1"/>
    <col min="322" max="322" width="10.140625" bestFit="1" customWidth="1"/>
    <col min="323" max="323" width="9.7109375" bestFit="1" customWidth="1"/>
    <col min="324" max="324" width="12.5703125" bestFit="1" customWidth="1"/>
    <col min="325" max="325" width="9.7109375" bestFit="1" customWidth="1"/>
    <col min="326" max="326" width="16" bestFit="1" customWidth="1"/>
    <col min="327" max="327" width="14.85546875" bestFit="1" customWidth="1"/>
    <col min="328" max="328" width="9.7109375" bestFit="1" customWidth="1"/>
    <col min="329" max="329" width="14.85546875" bestFit="1" customWidth="1"/>
    <col min="330" max="330" width="10.42578125" bestFit="1" customWidth="1"/>
    <col min="331" max="331" width="16" bestFit="1" customWidth="1"/>
    <col min="332" max="332" width="10.42578125" bestFit="1" customWidth="1"/>
    <col min="333" max="333" width="12.5703125" bestFit="1" customWidth="1"/>
    <col min="334" max="334" width="10.42578125" bestFit="1" customWidth="1"/>
    <col min="335" max="335" width="14.140625" bestFit="1" customWidth="1"/>
    <col min="336" max="336" width="10.42578125" bestFit="1" customWidth="1"/>
    <col min="337" max="337" width="12.5703125" bestFit="1" customWidth="1"/>
    <col min="338" max="338" width="10.42578125" bestFit="1" customWidth="1"/>
    <col min="339" max="339" width="14.85546875" bestFit="1" customWidth="1"/>
    <col min="340" max="340" width="10.42578125" bestFit="1" customWidth="1"/>
    <col min="341" max="341" width="14.140625" bestFit="1" customWidth="1"/>
    <col min="342" max="342" width="10.5703125" bestFit="1" customWidth="1"/>
    <col min="343" max="343" width="13.140625" bestFit="1" customWidth="1"/>
    <col min="344" max="344" width="10.42578125" bestFit="1" customWidth="1"/>
    <col min="345" max="345" width="12.5703125" bestFit="1" customWidth="1"/>
    <col min="346" max="346" width="10.5703125" bestFit="1" customWidth="1"/>
    <col min="347" max="347" width="13.140625" bestFit="1" customWidth="1"/>
    <col min="348" max="348" width="10.5703125" bestFit="1" customWidth="1"/>
    <col min="349" max="349" width="14.85546875" bestFit="1" customWidth="1"/>
    <col min="350" max="350" width="10.5703125" bestFit="1" customWidth="1"/>
    <col min="351" max="351" width="13.140625" bestFit="1" customWidth="1"/>
    <col min="352" max="352" width="12.7109375" bestFit="1" customWidth="1"/>
    <col min="353" max="353" width="10.5703125" bestFit="1" customWidth="1"/>
    <col min="354" max="354" width="11.7109375" bestFit="1" customWidth="1"/>
    <col min="355" max="355" width="10.5703125" bestFit="1" customWidth="1"/>
    <col min="356" max="356" width="14.140625" bestFit="1" customWidth="1"/>
    <col min="357" max="357" width="10.5703125" bestFit="1" customWidth="1"/>
    <col min="358" max="358" width="14.85546875" bestFit="1" customWidth="1"/>
    <col min="359" max="359" width="10.5703125" bestFit="1" customWidth="1"/>
    <col min="360" max="360" width="12.5703125" bestFit="1" customWidth="1"/>
    <col min="361" max="361" width="10.5703125" bestFit="1" customWidth="1"/>
    <col min="362" max="362" width="12.5703125" bestFit="1" customWidth="1"/>
    <col min="363" max="363" width="9.42578125" bestFit="1" customWidth="1"/>
    <col min="364" max="364" width="16" bestFit="1" customWidth="1"/>
    <col min="365" max="365" width="9.5703125" bestFit="1" customWidth="1"/>
    <col min="366" max="366" width="16" bestFit="1" customWidth="1"/>
    <col min="367" max="367" width="13.140625" bestFit="1" customWidth="1"/>
    <col min="368" max="368" width="11.7109375" bestFit="1" customWidth="1"/>
    <col min="369" max="369" width="10.140625" bestFit="1" customWidth="1"/>
    <col min="370" max="370" width="9.5703125" bestFit="1" customWidth="1"/>
    <col min="371" max="371" width="16" bestFit="1" customWidth="1"/>
    <col min="372" max="372" width="9.5703125" bestFit="1" customWidth="1"/>
    <col min="373" max="373" width="13.140625" bestFit="1" customWidth="1"/>
    <col min="374" max="374" width="10.140625" bestFit="1" customWidth="1"/>
    <col min="375" max="375" width="10.28515625" bestFit="1" customWidth="1"/>
    <col min="376" max="376" width="14.85546875" bestFit="1" customWidth="1"/>
    <col min="377" max="377" width="10.28515625" bestFit="1" customWidth="1"/>
    <col min="378" max="378" width="14.140625" bestFit="1" customWidth="1"/>
    <col min="379" max="379" width="10.28515625" bestFit="1" customWidth="1"/>
    <col min="380" max="380" width="12.5703125" bestFit="1" customWidth="1"/>
    <col min="381" max="381" width="10.28515625" bestFit="1" customWidth="1"/>
    <col min="382" max="382" width="14.140625" bestFit="1" customWidth="1"/>
    <col min="383" max="383" width="10.28515625" bestFit="1" customWidth="1"/>
    <col min="384" max="384" width="12.5703125" bestFit="1" customWidth="1"/>
    <col min="385" max="385" width="10.28515625" bestFit="1" customWidth="1"/>
    <col min="386" max="386" width="11.7109375" bestFit="1" customWidth="1"/>
    <col min="387" max="387" width="10.28515625" bestFit="1" customWidth="1"/>
    <col min="388" max="388" width="14.85546875" bestFit="1" customWidth="1"/>
    <col min="389" max="389" width="10.28515625" bestFit="1" customWidth="1"/>
    <col min="390" max="390" width="11.7109375" bestFit="1" customWidth="1"/>
    <col min="391" max="391" width="10.42578125" bestFit="1" customWidth="1"/>
    <col min="392" max="392" width="16" bestFit="1" customWidth="1"/>
    <col min="393" max="393" width="12.5703125" bestFit="1" customWidth="1"/>
    <col min="394" max="394" width="14.85546875" bestFit="1" customWidth="1"/>
    <col min="395" max="395" width="10.28515625" bestFit="1" customWidth="1"/>
    <col min="396" max="396" width="14.85546875" bestFit="1" customWidth="1"/>
    <col min="397" max="397" width="10.42578125" bestFit="1" customWidth="1"/>
    <col min="398" max="398" width="14.85546875" bestFit="1" customWidth="1"/>
    <col min="399" max="399" width="13.140625" bestFit="1" customWidth="1"/>
    <col min="400" max="400" width="10.42578125" bestFit="1" customWidth="1"/>
    <col min="401" max="401" width="13.140625" bestFit="1" customWidth="1"/>
    <col min="402" max="402" width="9.85546875" bestFit="1" customWidth="1"/>
    <col min="403" max="403" width="13.140625" bestFit="1" customWidth="1"/>
    <col min="404" max="404" width="10" bestFit="1" customWidth="1"/>
    <col min="405" max="405" width="14.140625" bestFit="1" customWidth="1"/>
    <col min="406" max="406" width="10" bestFit="1" customWidth="1"/>
    <col min="407" max="407" width="14.140625" bestFit="1" customWidth="1"/>
    <col min="408" max="408" width="10" bestFit="1" customWidth="1"/>
    <col min="409" max="409" width="10.140625" bestFit="1" customWidth="1"/>
    <col min="410" max="410" width="10" bestFit="1" customWidth="1"/>
    <col min="411" max="411" width="14.85546875" bestFit="1" customWidth="1"/>
    <col min="412" max="412" width="10" bestFit="1" customWidth="1"/>
    <col min="413" max="413" width="16" bestFit="1" customWidth="1"/>
    <col min="414" max="414" width="12.7109375" bestFit="1" customWidth="1"/>
    <col min="415" max="415" width="10" bestFit="1" customWidth="1"/>
    <col min="416" max="416" width="16" bestFit="1" customWidth="1"/>
    <col min="417" max="417" width="10" bestFit="1" customWidth="1"/>
    <col min="418" max="418" width="12.7109375" bestFit="1" customWidth="1"/>
    <col min="419" max="419" width="10.5703125" bestFit="1" customWidth="1"/>
    <col min="420" max="420" width="12.7109375" bestFit="1" customWidth="1"/>
    <col min="421" max="421" width="10.7109375" bestFit="1" customWidth="1"/>
    <col min="422" max="422" width="12.5703125" bestFit="1" customWidth="1"/>
    <col min="423" max="423" width="10.140625" bestFit="1" customWidth="1"/>
    <col min="424" max="424" width="10.7109375" bestFit="1" customWidth="1"/>
    <col min="425" max="425" width="16" bestFit="1" customWidth="1"/>
    <col min="426" max="426" width="14.85546875" bestFit="1" customWidth="1"/>
    <col min="427" max="427" width="10.7109375" bestFit="1" customWidth="1"/>
    <col min="428" max="428" width="16" bestFit="1" customWidth="1"/>
    <col min="429" max="429" width="10.7109375" bestFit="1" customWidth="1"/>
    <col min="430" max="430" width="16" bestFit="1" customWidth="1"/>
    <col min="431" max="431" width="14.140625" bestFit="1" customWidth="1"/>
    <col min="432" max="432" width="10.7109375" bestFit="1" customWidth="1"/>
    <col min="433" max="433" width="14.85546875" bestFit="1" customWidth="1"/>
    <col min="434" max="434" width="13.140625" bestFit="1" customWidth="1"/>
    <col min="435" max="435" width="10.85546875" bestFit="1" customWidth="1"/>
    <col min="436" max="436" width="14.85546875" bestFit="1" customWidth="1"/>
    <col min="437" max="437" width="14.140625" bestFit="1" customWidth="1"/>
    <col min="438" max="438" width="10.85546875" bestFit="1" customWidth="1"/>
    <col min="439" max="439" width="14.85546875" bestFit="1" customWidth="1"/>
    <col min="440" max="440" width="10.85546875" bestFit="1" customWidth="1"/>
    <col min="441" max="441" width="12.5703125" bestFit="1" customWidth="1"/>
    <col min="442" max="442" width="10.85546875" bestFit="1" customWidth="1"/>
    <col min="443" max="443" width="12.5703125" bestFit="1" customWidth="1"/>
    <col min="444" max="444" width="10.140625" bestFit="1" customWidth="1"/>
    <col min="445" max="445" width="10.85546875" bestFit="1" customWidth="1"/>
    <col min="446" max="446" width="14.85546875" bestFit="1" customWidth="1"/>
    <col min="447" max="447" width="11.7109375" bestFit="1" customWidth="1"/>
    <col min="448" max="448" width="9.5703125" bestFit="1" customWidth="1"/>
    <col min="449" max="449" width="12.5703125" bestFit="1" customWidth="1"/>
    <col min="450" max="450" width="13.140625" bestFit="1" customWidth="1"/>
    <col min="451" max="451" width="9.5703125" bestFit="1" customWidth="1"/>
    <col min="452" max="452" width="14.140625" bestFit="1" customWidth="1"/>
    <col min="453" max="453" width="11.7109375" bestFit="1" customWidth="1"/>
    <col min="454" max="454" width="9.5703125" bestFit="1" customWidth="1"/>
    <col min="455" max="455" width="14.85546875" bestFit="1" customWidth="1"/>
    <col min="456" max="456" width="14.140625" bestFit="1" customWidth="1"/>
    <col min="457" max="457" width="9.5703125" bestFit="1" customWidth="1"/>
    <col min="458" max="458" width="14.85546875" bestFit="1" customWidth="1"/>
    <col min="459" max="459" width="9.5703125" bestFit="1" customWidth="1"/>
    <col min="460" max="460" width="12.5703125" bestFit="1" customWidth="1"/>
    <col min="461" max="461" width="9.5703125" bestFit="1" customWidth="1"/>
    <col min="462" max="462" width="14.85546875" bestFit="1" customWidth="1"/>
    <col min="463" max="463" width="13.140625" bestFit="1" customWidth="1"/>
    <col min="464" max="464" width="10.28515625" bestFit="1" customWidth="1"/>
    <col min="465" max="466" width="10.140625" bestFit="1" customWidth="1"/>
    <col min="467" max="467" width="14.85546875" bestFit="1" customWidth="1"/>
    <col min="468" max="468" width="13.140625" bestFit="1" customWidth="1"/>
    <col min="469" max="469" width="11.7109375" bestFit="1" customWidth="1"/>
    <col min="470" max="470" width="10.28515625" bestFit="1" customWidth="1"/>
    <col min="471" max="471" width="14.140625" bestFit="1" customWidth="1"/>
    <col min="472" max="472" width="10.28515625" bestFit="1" customWidth="1"/>
    <col min="473" max="473" width="14.85546875" bestFit="1" customWidth="1"/>
    <col min="474" max="474" width="10.28515625" bestFit="1" customWidth="1"/>
    <col min="475" max="475" width="10.140625" bestFit="1" customWidth="1"/>
    <col min="476" max="476" width="10.28515625" bestFit="1" customWidth="1"/>
    <col min="477" max="477" width="16" bestFit="1" customWidth="1"/>
    <col min="478" max="478" width="10.28515625" bestFit="1" customWidth="1"/>
    <col min="479" max="479" width="14.85546875" bestFit="1" customWidth="1"/>
    <col min="480" max="480" width="10.42578125" bestFit="1" customWidth="1"/>
    <col min="481" max="481" width="14.85546875" bestFit="1" customWidth="1"/>
    <col min="482" max="482" width="10.28515625" bestFit="1" customWidth="1"/>
    <col min="483" max="483" width="16" bestFit="1" customWidth="1"/>
    <col min="484" max="484" width="14.85546875" bestFit="1" customWidth="1"/>
    <col min="485" max="485" width="10.42578125" bestFit="1" customWidth="1"/>
    <col min="486" max="486" width="12.5703125" bestFit="1" customWidth="1"/>
    <col min="487" max="487" width="10.42578125" bestFit="1" customWidth="1"/>
    <col min="488" max="488" width="12.5703125" bestFit="1" customWidth="1"/>
    <col min="489" max="489" width="14.85546875" bestFit="1" customWidth="1"/>
    <col min="490" max="490" width="10.42578125" bestFit="1" customWidth="1"/>
    <col min="491" max="491" width="16" bestFit="1" customWidth="1"/>
    <col min="492" max="492" width="12.5703125" bestFit="1" customWidth="1"/>
    <col min="493" max="493" width="10.42578125" bestFit="1" customWidth="1"/>
    <col min="494" max="494" width="13.140625" bestFit="1" customWidth="1"/>
    <col min="495" max="495" width="10.42578125" bestFit="1" customWidth="1"/>
    <col min="496" max="496" width="11.7109375" bestFit="1" customWidth="1"/>
    <col min="497" max="497" width="10.42578125" bestFit="1" customWidth="1"/>
    <col min="498" max="498" width="15.85546875" bestFit="1" customWidth="1"/>
    <col min="499" max="499" width="9.85546875" bestFit="1" customWidth="1"/>
    <col min="500" max="500" width="12.5703125" bestFit="1" customWidth="1"/>
    <col min="501" max="501" width="9.85546875" bestFit="1" customWidth="1"/>
    <col min="502" max="502" width="14.85546875" bestFit="1" customWidth="1"/>
    <col min="503" max="503" width="9.85546875" bestFit="1" customWidth="1"/>
    <col min="504" max="504" width="14.140625" bestFit="1" customWidth="1"/>
    <col min="505" max="505" width="9.85546875" bestFit="1" customWidth="1"/>
    <col min="506" max="506" width="13.140625" bestFit="1" customWidth="1"/>
    <col min="507" max="507" width="9.85546875" bestFit="1" customWidth="1"/>
    <col min="508" max="508" width="14.85546875" bestFit="1" customWidth="1"/>
    <col min="509" max="509" width="10.42578125" bestFit="1" customWidth="1"/>
    <col min="510" max="510" width="14.85546875" bestFit="1" customWidth="1"/>
    <col min="511" max="511" width="10.5703125" bestFit="1" customWidth="1"/>
    <col min="512" max="512" width="16" bestFit="1" customWidth="1"/>
    <col min="513" max="513" width="12.5703125" bestFit="1" customWidth="1"/>
    <col min="514" max="514" width="12.7109375" bestFit="1" customWidth="1"/>
    <col min="515" max="515" width="10.5703125" bestFit="1" customWidth="1"/>
    <col min="516" max="516" width="14.140625" bestFit="1" customWidth="1"/>
    <col min="517" max="517" width="10.5703125" bestFit="1" customWidth="1"/>
    <col min="518" max="518" width="10.140625" bestFit="1" customWidth="1"/>
    <col min="519" max="519" width="10.5703125" bestFit="1" customWidth="1"/>
    <col min="520" max="520" width="12.5703125" bestFit="1" customWidth="1"/>
    <col min="521" max="521" width="14.85546875" bestFit="1" customWidth="1"/>
    <col min="522" max="522" width="10.5703125" bestFit="1" customWidth="1"/>
    <col min="523" max="523" width="14.85546875" bestFit="1" customWidth="1"/>
    <col min="524" max="524" width="10.7109375" bestFit="1" customWidth="1"/>
    <col min="525" max="525" width="12.5703125" bestFit="1" customWidth="1"/>
    <col min="526" max="526" width="13.140625" bestFit="1" customWidth="1"/>
    <col min="527" max="527" width="10.7109375" bestFit="1" customWidth="1"/>
    <col min="528" max="528" width="16" bestFit="1" customWidth="1"/>
    <col min="529" max="529" width="10.7109375" bestFit="1" customWidth="1"/>
    <col min="530" max="530" width="16" bestFit="1" customWidth="1"/>
    <col min="531" max="531" width="10.7109375" bestFit="1" customWidth="1"/>
    <col min="532" max="532" width="14.140625" bestFit="1" customWidth="1"/>
    <col min="533" max="533" width="10.7109375" bestFit="1" customWidth="1"/>
    <col min="534" max="534" width="13.140625" bestFit="1" customWidth="1"/>
    <col min="535" max="535" width="10.7109375" bestFit="1" customWidth="1"/>
    <col min="536" max="536" width="13.140625" bestFit="1" customWidth="1"/>
    <col min="537" max="537" width="10.5703125" bestFit="1" customWidth="1"/>
    <col min="538" max="538" width="14.85546875" bestFit="1" customWidth="1"/>
    <col min="539" max="539" width="9.5703125" bestFit="1" customWidth="1"/>
    <col min="540" max="540" width="13.140625" bestFit="1" customWidth="1"/>
    <col min="541" max="541" width="10.140625" bestFit="1" customWidth="1"/>
    <col min="542" max="542" width="9.5703125" bestFit="1" customWidth="1"/>
    <col min="543" max="543" width="12.5703125" bestFit="1" customWidth="1"/>
    <col min="544" max="544" width="9.5703125" bestFit="1" customWidth="1"/>
    <col min="545" max="545" width="16" bestFit="1" customWidth="1"/>
    <col min="546" max="546" width="10.28515625" bestFit="1" customWidth="1"/>
    <col min="547" max="547" width="14.140625" bestFit="1" customWidth="1"/>
    <col min="548" max="548" width="10.28515625" bestFit="1" customWidth="1"/>
    <col min="549" max="549" width="14.85546875" bestFit="1" customWidth="1"/>
    <col min="550" max="550" width="10.28515625" bestFit="1" customWidth="1"/>
    <col min="551" max="551" width="14.85546875" bestFit="1" customWidth="1"/>
    <col min="552" max="552" width="13.140625" bestFit="1" customWidth="1"/>
    <col min="553" max="553" width="10.42578125" bestFit="1" customWidth="1"/>
    <col min="554" max="554" width="12.5703125" bestFit="1" customWidth="1"/>
    <col min="555" max="555" width="10.42578125" bestFit="1" customWidth="1"/>
    <col min="556" max="556" width="14.85546875" bestFit="1" customWidth="1"/>
    <col min="557" max="557" width="10.42578125" bestFit="1" customWidth="1"/>
    <col min="558" max="559" width="10.140625" bestFit="1" customWidth="1"/>
    <col min="560" max="560" width="14.85546875" bestFit="1" customWidth="1"/>
    <col min="561" max="561" width="10.28515625" bestFit="1" customWidth="1"/>
    <col min="562" max="562" width="16" bestFit="1" customWidth="1"/>
    <col min="563" max="563" width="14.140625" bestFit="1" customWidth="1"/>
    <col min="564" max="564" width="10.28515625" bestFit="1" customWidth="1"/>
    <col min="565" max="565" width="16" bestFit="1" customWidth="1"/>
    <col min="566" max="566" width="10.28515625" bestFit="1" customWidth="1"/>
    <col min="567" max="567" width="16" bestFit="1" customWidth="1"/>
    <col min="568" max="568" width="10.28515625" bestFit="1" customWidth="1"/>
    <col min="569" max="569" width="11.7109375" bestFit="1" customWidth="1"/>
    <col min="570" max="570" width="11" bestFit="1" customWidth="1"/>
    <col min="571" max="571" width="13.140625" bestFit="1" customWidth="1"/>
    <col min="572" max="572" width="11" bestFit="1" customWidth="1"/>
    <col min="573" max="573" width="14.85546875" bestFit="1" customWidth="1"/>
    <col min="574" max="574" width="11" bestFit="1" customWidth="1"/>
    <col min="575" max="575" width="12.5703125" bestFit="1" customWidth="1"/>
    <col min="576" max="576" width="10.140625" bestFit="1" customWidth="1"/>
    <col min="577" max="577" width="11" bestFit="1" customWidth="1"/>
    <col min="578" max="578" width="16" bestFit="1" customWidth="1"/>
    <col min="579" max="579" width="11" bestFit="1" customWidth="1"/>
    <col min="580" max="580" width="14.140625" bestFit="1" customWidth="1"/>
    <col min="581" max="581" width="11.140625" bestFit="1" customWidth="1"/>
    <col min="582" max="582" width="14.85546875" bestFit="1" customWidth="1"/>
    <col min="583" max="583" width="12.7109375" bestFit="1" customWidth="1"/>
    <col min="584" max="584" width="11.140625" bestFit="1" customWidth="1"/>
    <col min="585" max="585" width="16" bestFit="1" customWidth="1"/>
    <col min="586" max="586" width="11.140625" bestFit="1" customWidth="1"/>
    <col min="587" max="587" width="13.140625" bestFit="1" customWidth="1"/>
    <col min="588" max="588" width="11.140625" bestFit="1" customWidth="1"/>
    <col min="589" max="589" width="14.140625" bestFit="1" customWidth="1"/>
    <col min="590" max="590" width="11.140625" bestFit="1" customWidth="1"/>
    <col min="591" max="591" width="12.5703125" bestFit="1" customWidth="1"/>
    <col min="592" max="592" width="11.140625" bestFit="1" customWidth="1"/>
    <col min="593" max="593" width="14.85546875" bestFit="1" customWidth="1"/>
    <col min="594" max="594" width="14.140625" bestFit="1" customWidth="1"/>
    <col min="595" max="595" width="11.140625" bestFit="1" customWidth="1"/>
    <col min="596" max="596" width="16" bestFit="1" customWidth="1"/>
    <col min="597" max="597" width="10.140625" bestFit="1" customWidth="1"/>
    <col min="598" max="598" width="11" bestFit="1" customWidth="1"/>
    <col min="599" max="599" width="14.85546875" bestFit="1" customWidth="1"/>
    <col min="600" max="600" width="9.7109375" bestFit="1" customWidth="1"/>
    <col min="601" max="601" width="13.140625" bestFit="1" customWidth="1"/>
    <col min="602" max="602" width="9.7109375" bestFit="1" customWidth="1"/>
    <col min="603" max="603" width="16" bestFit="1" customWidth="1"/>
    <col min="604" max="604" width="12.5703125" bestFit="1" customWidth="1"/>
    <col min="605" max="605" width="9.7109375" bestFit="1" customWidth="1"/>
    <col min="606" max="606" width="14.85546875" bestFit="1" customWidth="1"/>
    <col min="607" max="607" width="9.7109375" bestFit="1" customWidth="1"/>
    <col min="608" max="608" width="12.5703125" bestFit="1" customWidth="1"/>
    <col min="609" max="609" width="14.85546875" bestFit="1" customWidth="1"/>
    <col min="610" max="610" width="9.7109375" bestFit="1" customWidth="1"/>
    <col min="611" max="611" width="14.140625" bestFit="1" customWidth="1"/>
    <col min="612" max="612" width="9.7109375" bestFit="1" customWidth="1"/>
    <col min="613" max="613" width="12.5703125" bestFit="1" customWidth="1"/>
    <col min="614" max="614" width="14.85546875" bestFit="1" customWidth="1"/>
    <col min="615" max="615" width="9.7109375" bestFit="1" customWidth="1"/>
    <col min="616" max="616" width="14.85546875" bestFit="1" customWidth="1"/>
    <col min="617" max="617" width="10.42578125" bestFit="1" customWidth="1"/>
    <col min="618" max="618" width="12.5703125" bestFit="1" customWidth="1"/>
    <col min="619" max="619" width="14.85546875" bestFit="1" customWidth="1"/>
    <col min="620" max="620" width="10.42578125" bestFit="1" customWidth="1"/>
    <col min="621" max="621" width="14.85546875" bestFit="1" customWidth="1"/>
    <col min="622" max="622" width="10.42578125" bestFit="1" customWidth="1"/>
    <col min="623" max="623" width="12.5703125" bestFit="1" customWidth="1"/>
    <col min="624" max="624" width="10.42578125" bestFit="1" customWidth="1"/>
    <col min="625" max="625" width="12.5703125" bestFit="1" customWidth="1"/>
    <col min="626" max="626" width="10.42578125" bestFit="1" customWidth="1"/>
    <col min="627" max="627" width="16" bestFit="1" customWidth="1"/>
    <col min="628" max="628" width="14.140625" bestFit="1" customWidth="1"/>
    <col min="629" max="629" width="10.42578125" bestFit="1" customWidth="1"/>
    <col min="630" max="630" width="12.5703125" bestFit="1" customWidth="1"/>
    <col min="631" max="631" width="14.140625" bestFit="1" customWidth="1"/>
    <col min="632" max="632" width="10.5703125" bestFit="1" customWidth="1"/>
    <col min="633" max="633" width="14.85546875" bestFit="1" customWidth="1"/>
    <col min="634" max="634" width="10.42578125" bestFit="1" customWidth="1"/>
    <col min="635" max="635" width="11.7109375" bestFit="1" customWidth="1"/>
    <col min="636" max="636" width="10.5703125" bestFit="1" customWidth="1"/>
    <col min="637" max="637" width="13.140625" bestFit="1" customWidth="1"/>
    <col min="638" max="638" width="10.5703125" bestFit="1" customWidth="1"/>
    <col min="639" max="639" width="16" bestFit="1" customWidth="1"/>
    <col min="640" max="640" width="11.7109375" bestFit="1" customWidth="1"/>
    <col min="641" max="641" width="10.5703125" bestFit="1" customWidth="1"/>
    <col min="642" max="642" width="12.5703125" bestFit="1" customWidth="1"/>
    <col min="643" max="643" width="13.140625" bestFit="1" customWidth="1"/>
    <col min="644" max="644" width="11.7109375" bestFit="1" customWidth="1"/>
    <col min="645" max="645" width="10.5703125" bestFit="1" customWidth="1"/>
    <col min="646" max="646" width="13.140625" bestFit="1" customWidth="1"/>
    <col min="647" max="647" width="10.28515625" bestFit="1" customWidth="1"/>
    <col min="648" max="648" width="16" bestFit="1" customWidth="1"/>
    <col min="649" max="649" width="14.85546875" bestFit="1" customWidth="1"/>
    <col min="650" max="650" width="10.42578125" bestFit="1" customWidth="1"/>
    <col min="651" max="651" width="14.85546875" bestFit="1" customWidth="1"/>
    <col min="652" max="652" width="10.42578125" bestFit="1" customWidth="1"/>
    <col min="653" max="653" width="12.5703125" bestFit="1" customWidth="1"/>
    <col min="654" max="654" width="11" bestFit="1" customWidth="1"/>
    <col min="655" max="655" width="12.5703125" bestFit="1" customWidth="1"/>
    <col min="656" max="656" width="14.85546875" bestFit="1" customWidth="1"/>
    <col min="657" max="657" width="12.7109375" bestFit="1" customWidth="1"/>
    <col min="658" max="658" width="11.140625" bestFit="1" customWidth="1"/>
    <col min="659" max="659" width="16" bestFit="1" customWidth="1"/>
    <col min="660" max="660" width="11.140625" bestFit="1" customWidth="1"/>
    <col min="661" max="661" width="10.140625" bestFit="1" customWidth="1"/>
    <col min="662" max="662" width="11.140625" bestFit="1" customWidth="1"/>
    <col min="663" max="663" width="16" bestFit="1" customWidth="1"/>
    <col min="664" max="664" width="11.140625" bestFit="1" customWidth="1"/>
    <col min="665" max="665" width="14.85546875" bestFit="1" customWidth="1"/>
    <col min="666" max="666" width="11.140625" bestFit="1" customWidth="1"/>
    <col min="667" max="667" width="12.5703125" bestFit="1" customWidth="1"/>
    <col min="668" max="668" width="11.140625" bestFit="1" customWidth="1"/>
    <col min="669" max="669" width="12.5703125" bestFit="1" customWidth="1"/>
    <col min="670" max="670" width="14.140625" bestFit="1" customWidth="1"/>
    <col min="671" max="671" width="11.7109375" bestFit="1" customWidth="1"/>
    <col min="672" max="672" width="10.140625" bestFit="1" customWidth="1"/>
    <col min="673" max="673" width="11.28515625" bestFit="1" customWidth="1"/>
    <col min="674" max="674" width="14.85546875" bestFit="1" customWidth="1"/>
    <col min="675" max="675" width="11.28515625" bestFit="1" customWidth="1"/>
    <col min="676" max="676" width="14.85546875" bestFit="1" customWidth="1"/>
    <col min="677" max="677" width="14.140625" bestFit="1" customWidth="1"/>
    <col min="678" max="678" width="11.28515625" bestFit="1" customWidth="1"/>
    <col min="679" max="679" width="14.85546875" bestFit="1" customWidth="1"/>
    <col min="680" max="680" width="14.140625" bestFit="1" customWidth="1"/>
    <col min="681" max="681" width="11.28515625" bestFit="1" customWidth="1"/>
    <col min="682" max="682" width="16" bestFit="1" customWidth="1"/>
    <col min="683" max="683" width="11.28515625" bestFit="1" customWidth="1"/>
    <col min="684" max="684" width="16" bestFit="1" customWidth="1"/>
    <col min="685" max="685" width="11.28515625" bestFit="1" customWidth="1"/>
    <col min="686" max="686" width="12.5703125" bestFit="1" customWidth="1"/>
    <col min="687" max="687" width="14.85546875" bestFit="1" customWidth="1"/>
    <col min="688" max="688" width="10.140625" bestFit="1" customWidth="1"/>
    <col min="689" max="689" width="11.28515625" bestFit="1" customWidth="1"/>
    <col min="690" max="690" width="10.140625" bestFit="1" customWidth="1"/>
    <col min="691" max="691" width="11.28515625" bestFit="1" customWidth="1"/>
    <col min="692" max="692" width="12.5703125" bestFit="1" customWidth="1"/>
    <col min="693" max="693" width="9.5703125" bestFit="1" customWidth="1"/>
    <col min="694" max="694" width="12.5703125" bestFit="1" customWidth="1"/>
    <col min="695" max="695" width="9.7109375" bestFit="1" customWidth="1"/>
    <col min="696" max="696" width="10.140625" bestFit="1" customWidth="1"/>
    <col min="697" max="697" width="9.7109375" bestFit="1" customWidth="1"/>
    <col min="698" max="698" width="14.140625" bestFit="1" customWidth="1"/>
    <col min="699" max="699" width="9.7109375" bestFit="1" customWidth="1"/>
    <col min="700" max="700" width="14.85546875" bestFit="1" customWidth="1"/>
    <col min="701" max="701" width="14.140625" bestFit="1" customWidth="1"/>
    <col min="702" max="702" width="9.7109375" bestFit="1" customWidth="1"/>
    <col min="703" max="703" width="11.7109375" bestFit="1" customWidth="1"/>
    <col min="704" max="704" width="9.7109375" bestFit="1" customWidth="1"/>
    <col min="705" max="705" width="14.140625" bestFit="1" customWidth="1"/>
    <col min="706" max="706" width="9.7109375" bestFit="1" customWidth="1"/>
    <col min="707" max="707" width="11.7109375" bestFit="1" customWidth="1"/>
    <col min="708" max="708" width="10.28515625" bestFit="1" customWidth="1"/>
    <col min="709" max="709" width="16" bestFit="1" customWidth="1"/>
    <col min="710" max="710" width="11.7109375" bestFit="1" customWidth="1"/>
    <col min="711" max="711" width="10.42578125" bestFit="1" customWidth="1"/>
    <col min="712" max="713" width="14.85546875" bestFit="1" customWidth="1"/>
    <col min="714" max="714" width="14.140625" bestFit="1" customWidth="1"/>
    <col min="715" max="715" width="10.42578125" bestFit="1" customWidth="1"/>
    <col min="716" max="716" width="14.85546875" bestFit="1" customWidth="1"/>
    <col min="717" max="717" width="10.5703125" bestFit="1" customWidth="1"/>
    <col min="718" max="718" width="12.5703125" bestFit="1" customWidth="1"/>
    <col min="719" max="719" width="11.7109375" bestFit="1" customWidth="1"/>
    <col min="720" max="720" width="10.5703125" bestFit="1" customWidth="1"/>
    <col min="721" max="721" width="12.5703125" bestFit="1" customWidth="1"/>
    <col min="722" max="722" width="10.5703125" bestFit="1" customWidth="1"/>
    <col min="723" max="723" width="12.5703125" bestFit="1" customWidth="1"/>
    <col min="724" max="724" width="10.5703125" bestFit="1" customWidth="1"/>
    <col min="725" max="725" width="11.7109375" bestFit="1" customWidth="1"/>
    <col min="726" max="726" width="10.5703125" bestFit="1" customWidth="1"/>
    <col min="727" max="727" width="11.7109375" bestFit="1" customWidth="1"/>
    <col min="728" max="728" width="10.5703125" bestFit="1" customWidth="1"/>
    <col min="729" max="730" width="14.85546875" bestFit="1" customWidth="1"/>
    <col min="731" max="731" width="10.140625" bestFit="1" customWidth="1"/>
    <col min="732" max="732" width="9.28515625" bestFit="1" customWidth="1"/>
    <col min="733" max="733" width="12.5703125" bestFit="1" customWidth="1"/>
    <col min="734" max="734" width="14.140625" bestFit="1" customWidth="1"/>
    <col min="735" max="735" width="9.28515625" bestFit="1" customWidth="1"/>
    <col min="736" max="736" width="16" bestFit="1" customWidth="1"/>
    <col min="737" max="737" width="10" bestFit="1" customWidth="1"/>
    <col min="738" max="738" width="14.140625" bestFit="1" customWidth="1"/>
    <col min="739" max="739" width="10" bestFit="1" customWidth="1"/>
    <col min="740" max="740" width="16" bestFit="1" customWidth="1"/>
    <col min="741" max="741" width="10.140625" bestFit="1" customWidth="1"/>
    <col min="742" max="742" width="10" bestFit="1" customWidth="1"/>
    <col min="743" max="743" width="16" bestFit="1" customWidth="1"/>
    <col min="744" max="744" width="10.140625" bestFit="1" customWidth="1"/>
    <col min="745" max="745" width="10" bestFit="1" customWidth="1"/>
    <col min="746" max="746" width="14.85546875" bestFit="1" customWidth="1"/>
    <col min="747" max="747" width="10" bestFit="1" customWidth="1"/>
    <col min="748" max="748" width="14.85546875" bestFit="1" customWidth="1"/>
    <col min="749" max="749" width="10" bestFit="1" customWidth="1"/>
    <col min="750" max="750" width="10.140625" bestFit="1" customWidth="1"/>
    <col min="751" max="751" width="10" bestFit="1" customWidth="1"/>
    <col min="752" max="752" width="12.5703125" bestFit="1" customWidth="1"/>
    <col min="753" max="753" width="10.140625" bestFit="1" customWidth="1"/>
    <col min="754" max="754" width="14.140625" bestFit="1" customWidth="1"/>
    <col min="755" max="755" width="11.7109375" bestFit="1" customWidth="1"/>
    <col min="756" max="756" width="10" bestFit="1" customWidth="1"/>
    <col min="757" max="757" width="12.5703125" bestFit="1" customWidth="1"/>
    <col min="758" max="758" width="12.7109375" bestFit="1" customWidth="1"/>
    <col min="759" max="761" width="10.140625" bestFit="1" customWidth="1"/>
    <col min="762" max="762" width="14.85546875" bestFit="1" customWidth="1"/>
    <col min="763" max="763" width="10.140625" bestFit="1" customWidth="1"/>
    <col min="764" max="764" width="13.140625" bestFit="1" customWidth="1"/>
    <col min="765" max="765" width="10.140625" bestFit="1" customWidth="1"/>
    <col min="766" max="766" width="16" bestFit="1" customWidth="1"/>
    <col min="767" max="767" width="14.85546875" bestFit="1" customWidth="1"/>
    <col min="768" max="768" width="10" bestFit="1" customWidth="1"/>
    <col min="769" max="770" width="14.85546875" bestFit="1" customWidth="1"/>
    <col min="771" max="771" width="13.140625" bestFit="1" customWidth="1"/>
    <col min="772" max="772" width="10" bestFit="1" customWidth="1"/>
    <col min="773" max="773" width="12.5703125" bestFit="1" customWidth="1"/>
    <col min="774" max="774" width="10" bestFit="1" customWidth="1"/>
    <col min="775" max="775" width="12.5703125" bestFit="1" customWidth="1"/>
    <col min="776" max="776" width="10" bestFit="1" customWidth="1"/>
    <col min="777" max="777" width="13.140625" bestFit="1" customWidth="1"/>
    <col min="778" max="778" width="10" bestFit="1" customWidth="1"/>
    <col min="779" max="779" width="12.5703125" bestFit="1" customWidth="1"/>
    <col min="780" max="780" width="10" bestFit="1" customWidth="1"/>
    <col min="781" max="781" width="12.5703125" bestFit="1" customWidth="1"/>
    <col min="782" max="782" width="10.7109375" bestFit="1" customWidth="1"/>
    <col min="783" max="783" width="14.85546875" bestFit="1" customWidth="1"/>
    <col min="784" max="784" width="13.140625" bestFit="1" customWidth="1"/>
    <col min="785" max="785" width="10.7109375" bestFit="1" customWidth="1"/>
    <col min="786" max="786" width="12.5703125" bestFit="1" customWidth="1"/>
    <col min="787" max="787" width="10.7109375" bestFit="1" customWidth="1"/>
    <col min="788" max="788" width="14.85546875" bestFit="1" customWidth="1"/>
    <col min="789" max="789" width="10.7109375" bestFit="1" customWidth="1"/>
    <col min="790" max="790" width="12.5703125" bestFit="1" customWidth="1"/>
    <col min="791" max="791" width="14.85546875" bestFit="1" customWidth="1"/>
    <col min="792" max="792" width="14.140625" bestFit="1" customWidth="1"/>
    <col min="793" max="793" width="10.7109375" bestFit="1" customWidth="1"/>
    <col min="794" max="794" width="16" bestFit="1" customWidth="1"/>
    <col min="795" max="795" width="10.7109375" bestFit="1" customWidth="1"/>
    <col min="796" max="796" width="14.85546875" bestFit="1" customWidth="1"/>
    <col min="797" max="797" width="11.7109375" bestFit="1" customWidth="1"/>
    <col min="798" max="798" width="10.85546875" bestFit="1" customWidth="1"/>
    <col min="799" max="799" width="16" bestFit="1" customWidth="1"/>
    <col min="800" max="800" width="14.85546875" bestFit="1" customWidth="1"/>
    <col min="801" max="801" width="10.85546875" bestFit="1" customWidth="1"/>
    <col min="802" max="803" width="14.85546875" bestFit="1" customWidth="1"/>
    <col min="804" max="804" width="10.85546875" bestFit="1" customWidth="1"/>
    <col min="805" max="805" width="14.140625" bestFit="1" customWidth="1"/>
    <col min="806" max="806" width="10.85546875" bestFit="1" customWidth="1"/>
    <col min="807" max="807" width="12.5703125" bestFit="1" customWidth="1"/>
    <col min="808" max="808" width="12.7109375" bestFit="1" customWidth="1"/>
    <col min="809" max="809" width="10.85546875" bestFit="1" customWidth="1"/>
    <col min="810" max="810" width="14.85546875" bestFit="1" customWidth="1"/>
    <col min="811" max="811" width="9.5703125" bestFit="1" customWidth="1"/>
    <col min="812" max="812" width="12.5703125" bestFit="1" customWidth="1"/>
    <col min="813" max="813" width="14.85546875" bestFit="1" customWidth="1"/>
    <col min="814" max="814" width="9.7109375" bestFit="1" customWidth="1"/>
    <col min="815" max="815" width="12.7109375" bestFit="1" customWidth="1"/>
    <col min="816" max="816" width="9.7109375" bestFit="1" customWidth="1"/>
    <col min="817" max="817" width="16" bestFit="1" customWidth="1"/>
    <col min="818" max="818" width="10.140625" bestFit="1" customWidth="1"/>
    <col min="819" max="819" width="9.7109375" bestFit="1" customWidth="1"/>
    <col min="820" max="820" width="12.5703125" bestFit="1" customWidth="1"/>
    <col min="821" max="821" width="9.7109375" bestFit="1" customWidth="1"/>
    <col min="822" max="822" width="16" bestFit="1" customWidth="1"/>
    <col min="823" max="823" width="14.85546875" bestFit="1" customWidth="1"/>
    <col min="824" max="824" width="9.7109375" bestFit="1" customWidth="1"/>
    <col min="825" max="825" width="14.85546875" bestFit="1" customWidth="1"/>
    <col min="826" max="826" width="10.42578125" bestFit="1" customWidth="1"/>
    <col min="827" max="827" width="16" bestFit="1" customWidth="1"/>
    <col min="828" max="828" width="10.42578125" bestFit="1" customWidth="1"/>
    <col min="829" max="829" width="12.5703125" bestFit="1" customWidth="1"/>
    <col min="830" max="830" width="10.42578125" bestFit="1" customWidth="1"/>
    <col min="831" max="831" width="14.140625" bestFit="1" customWidth="1"/>
    <col min="832" max="832" width="10.42578125" bestFit="1" customWidth="1"/>
    <col min="833" max="833" width="12.5703125" bestFit="1" customWidth="1"/>
    <col min="834" max="834" width="10.42578125" bestFit="1" customWidth="1"/>
    <col min="835" max="835" width="14.85546875" bestFit="1" customWidth="1"/>
    <col min="836" max="836" width="10.42578125" bestFit="1" customWidth="1"/>
    <col min="837" max="837" width="14.140625" bestFit="1" customWidth="1"/>
    <col min="838" max="838" width="10.5703125" bestFit="1" customWidth="1"/>
    <col min="839" max="839" width="13.140625" bestFit="1" customWidth="1"/>
    <col min="840" max="840" width="10.42578125" bestFit="1" customWidth="1"/>
    <col min="841" max="841" width="12.5703125" bestFit="1" customWidth="1"/>
    <col min="842" max="842" width="10.5703125" bestFit="1" customWidth="1"/>
    <col min="843" max="843" width="13.140625" bestFit="1" customWidth="1"/>
    <col min="844" max="844" width="10.5703125" bestFit="1" customWidth="1"/>
    <col min="845" max="845" width="14.85546875" bestFit="1" customWidth="1"/>
    <col min="846" max="846" width="10.5703125" bestFit="1" customWidth="1"/>
    <col min="847" max="847" width="13.140625" bestFit="1" customWidth="1"/>
    <col min="848" max="848" width="12.7109375" bestFit="1" customWidth="1"/>
    <col min="849" max="849" width="10.5703125" bestFit="1" customWidth="1"/>
    <col min="850" max="850" width="11.7109375" bestFit="1" customWidth="1"/>
    <col min="851" max="851" width="10.5703125" bestFit="1" customWidth="1"/>
    <col min="852" max="852" width="14.140625" bestFit="1" customWidth="1"/>
    <col min="853" max="853" width="10.5703125" bestFit="1" customWidth="1"/>
    <col min="854" max="854" width="14.85546875" bestFit="1" customWidth="1"/>
    <col min="855" max="855" width="10.5703125" bestFit="1" customWidth="1"/>
    <col min="856" max="856" width="12.5703125" bestFit="1" customWidth="1"/>
    <col min="857" max="857" width="10.5703125" bestFit="1" customWidth="1"/>
    <col min="858" max="858" width="12.5703125" bestFit="1" customWidth="1"/>
    <col min="859" max="859" width="9.42578125" bestFit="1" customWidth="1"/>
    <col min="860" max="860" width="16" bestFit="1" customWidth="1"/>
    <col min="861" max="861" width="9.5703125" bestFit="1" customWidth="1"/>
    <col min="862" max="862" width="16" bestFit="1" customWidth="1"/>
    <col min="863" max="863" width="13.140625" bestFit="1" customWidth="1"/>
    <col min="864" max="864" width="11.7109375" bestFit="1" customWidth="1"/>
    <col min="865" max="865" width="10.140625" bestFit="1" customWidth="1"/>
    <col min="866" max="866" width="9.5703125" bestFit="1" customWidth="1"/>
    <col min="867" max="867" width="16" bestFit="1" customWidth="1"/>
    <col min="868" max="868" width="9.5703125" bestFit="1" customWidth="1"/>
    <col min="869" max="869" width="13.140625" bestFit="1" customWidth="1"/>
    <col min="870" max="870" width="10.140625" bestFit="1" customWidth="1"/>
    <col min="871" max="871" width="10.28515625" bestFit="1" customWidth="1"/>
    <col min="872" max="872" width="14.85546875" bestFit="1" customWidth="1"/>
    <col min="873" max="873" width="10.28515625" bestFit="1" customWidth="1"/>
    <col min="874" max="874" width="14.140625" bestFit="1" customWidth="1"/>
    <col min="875" max="875" width="10.28515625" bestFit="1" customWidth="1"/>
    <col min="876" max="876" width="12.5703125" bestFit="1" customWidth="1"/>
    <col min="877" max="877" width="10.28515625" bestFit="1" customWidth="1"/>
    <col min="878" max="878" width="14.140625" bestFit="1" customWidth="1"/>
    <col min="879" max="879" width="10.28515625" bestFit="1" customWidth="1"/>
    <col min="880" max="880" width="12.5703125" bestFit="1" customWidth="1"/>
    <col min="881" max="881" width="10.28515625" bestFit="1" customWidth="1"/>
    <col min="882" max="882" width="11.7109375" bestFit="1" customWidth="1"/>
    <col min="883" max="883" width="10.28515625" bestFit="1" customWidth="1"/>
    <col min="884" max="884" width="14.85546875" bestFit="1" customWidth="1"/>
    <col min="885" max="885" width="10.28515625" bestFit="1" customWidth="1"/>
    <col min="886" max="886" width="11.7109375" bestFit="1" customWidth="1"/>
    <col min="887" max="887" width="10.42578125" bestFit="1" customWidth="1"/>
    <col min="888" max="888" width="16" bestFit="1" customWidth="1"/>
    <col min="889" max="889" width="12.5703125" bestFit="1" customWidth="1"/>
    <col min="890" max="890" width="14.85546875" bestFit="1" customWidth="1"/>
    <col min="891" max="891" width="10.28515625" bestFit="1" customWidth="1"/>
    <col min="892" max="892" width="14.85546875" bestFit="1" customWidth="1"/>
    <col min="893" max="893" width="10.42578125" bestFit="1" customWidth="1"/>
    <col min="894" max="894" width="14.85546875" bestFit="1" customWidth="1"/>
    <col min="895" max="895" width="13.140625" bestFit="1" customWidth="1"/>
    <col min="896" max="896" width="10.42578125" bestFit="1" customWidth="1"/>
    <col min="897" max="897" width="13.140625" bestFit="1" customWidth="1"/>
    <col min="898" max="898" width="9.85546875" bestFit="1" customWidth="1"/>
    <col min="899" max="899" width="13.140625" bestFit="1" customWidth="1"/>
    <col min="900" max="900" width="10" bestFit="1" customWidth="1"/>
    <col min="901" max="901" width="14.140625" bestFit="1" customWidth="1"/>
    <col min="902" max="902" width="10" bestFit="1" customWidth="1"/>
    <col min="903" max="903" width="14.140625" bestFit="1" customWidth="1"/>
    <col min="904" max="904" width="10" bestFit="1" customWidth="1"/>
    <col min="905" max="905" width="10.140625" bestFit="1" customWidth="1"/>
    <col min="906" max="906" width="10" bestFit="1" customWidth="1"/>
    <col min="907" max="907" width="14.85546875" bestFit="1" customWidth="1"/>
    <col min="908" max="908" width="10" bestFit="1" customWidth="1"/>
    <col min="909" max="909" width="16" bestFit="1" customWidth="1"/>
    <col min="910" max="910" width="12.7109375" bestFit="1" customWidth="1"/>
    <col min="911" max="911" width="10" bestFit="1" customWidth="1"/>
    <col min="912" max="912" width="16" bestFit="1" customWidth="1"/>
    <col min="913" max="913" width="10" bestFit="1" customWidth="1"/>
    <col min="914" max="914" width="12.7109375" bestFit="1" customWidth="1"/>
    <col min="915" max="915" width="10.5703125" bestFit="1" customWidth="1"/>
    <col min="916" max="916" width="12.7109375" bestFit="1" customWidth="1"/>
    <col min="917" max="917" width="10.7109375" bestFit="1" customWidth="1"/>
    <col min="918" max="918" width="12.5703125" bestFit="1" customWidth="1"/>
    <col min="919" max="919" width="10.140625" bestFit="1" customWidth="1"/>
    <col min="920" max="920" width="10.7109375" bestFit="1" customWidth="1"/>
    <col min="921" max="921" width="16" bestFit="1" customWidth="1"/>
    <col min="922" max="922" width="14.85546875" bestFit="1" customWidth="1"/>
    <col min="923" max="923" width="10.7109375" bestFit="1" customWidth="1"/>
    <col min="924" max="924" width="16" bestFit="1" customWidth="1"/>
    <col min="925" max="925" width="10.7109375" bestFit="1" customWidth="1"/>
    <col min="926" max="926" width="16" bestFit="1" customWidth="1"/>
    <col min="927" max="927" width="14.140625" bestFit="1" customWidth="1"/>
    <col min="928" max="928" width="10.7109375" bestFit="1" customWidth="1"/>
    <col min="929" max="929" width="14.85546875" bestFit="1" customWidth="1"/>
    <col min="930" max="930" width="13.140625" bestFit="1" customWidth="1"/>
    <col min="931" max="931" width="10.85546875" bestFit="1" customWidth="1"/>
    <col min="932" max="932" width="14.85546875" bestFit="1" customWidth="1"/>
    <col min="933" max="933" width="14.140625" bestFit="1" customWidth="1"/>
    <col min="934" max="934" width="10.85546875" bestFit="1" customWidth="1"/>
    <col min="935" max="935" width="14.85546875" bestFit="1" customWidth="1"/>
    <col min="936" max="936" width="10.85546875" bestFit="1" customWidth="1"/>
    <col min="937" max="937" width="12.5703125" bestFit="1" customWidth="1"/>
    <col min="938" max="938" width="10.85546875" bestFit="1" customWidth="1"/>
    <col min="939" max="939" width="12.5703125" bestFit="1" customWidth="1"/>
    <col min="940" max="940" width="10.140625" bestFit="1" customWidth="1"/>
    <col min="941" max="941" width="10.85546875" bestFit="1" customWidth="1"/>
    <col min="942" max="942" width="14.85546875" bestFit="1" customWidth="1"/>
    <col min="943" max="943" width="11.7109375" bestFit="1" customWidth="1"/>
    <col min="944" max="944" width="9.5703125" bestFit="1" customWidth="1"/>
    <col min="945" max="945" width="12.5703125" bestFit="1" customWidth="1"/>
    <col min="946" max="946" width="13.140625" bestFit="1" customWidth="1"/>
    <col min="947" max="947" width="9.5703125" bestFit="1" customWidth="1"/>
    <col min="948" max="948" width="14.140625" bestFit="1" customWidth="1"/>
    <col min="949" max="949" width="11.7109375" bestFit="1" customWidth="1"/>
    <col min="950" max="950" width="9.5703125" bestFit="1" customWidth="1"/>
    <col min="951" max="951" width="14.85546875" bestFit="1" customWidth="1"/>
    <col min="952" max="952" width="14.140625" bestFit="1" customWidth="1"/>
    <col min="953" max="953" width="9.5703125" bestFit="1" customWidth="1"/>
    <col min="954" max="954" width="14.85546875" bestFit="1" customWidth="1"/>
    <col min="955" max="955" width="9.5703125" bestFit="1" customWidth="1"/>
    <col min="956" max="956" width="12.5703125" bestFit="1" customWidth="1"/>
    <col min="957" max="957" width="9.5703125" bestFit="1" customWidth="1"/>
    <col min="958" max="958" width="14.85546875" bestFit="1" customWidth="1"/>
    <col min="959" max="959" width="13.140625" bestFit="1" customWidth="1"/>
    <col min="960" max="960" width="10.28515625" bestFit="1" customWidth="1"/>
    <col min="961" max="962" width="10.140625" bestFit="1" customWidth="1"/>
    <col min="963" max="963" width="14.85546875" bestFit="1" customWidth="1"/>
    <col min="964" max="964" width="13.140625" bestFit="1" customWidth="1"/>
    <col min="965" max="965" width="11.7109375" bestFit="1" customWidth="1"/>
    <col min="966" max="966" width="10.28515625" bestFit="1" customWidth="1"/>
    <col min="967" max="967" width="14.140625" bestFit="1" customWidth="1"/>
    <col min="968" max="968" width="10.28515625" bestFit="1" customWidth="1"/>
    <col min="969" max="969" width="14.85546875" bestFit="1" customWidth="1"/>
    <col min="970" max="970" width="10.28515625" bestFit="1" customWidth="1"/>
    <col min="971" max="971" width="10.140625" bestFit="1" customWidth="1"/>
    <col min="972" max="972" width="10.28515625" bestFit="1" customWidth="1"/>
    <col min="973" max="973" width="16" bestFit="1" customWidth="1"/>
    <col min="974" max="974" width="10.28515625" bestFit="1" customWidth="1"/>
    <col min="975" max="975" width="14.85546875" bestFit="1" customWidth="1"/>
    <col min="976" max="976" width="10.42578125" bestFit="1" customWidth="1"/>
    <col min="977" max="977" width="14.85546875" bestFit="1" customWidth="1"/>
    <col min="978" max="978" width="10.28515625" bestFit="1" customWidth="1"/>
    <col min="979" max="979" width="16" bestFit="1" customWidth="1"/>
    <col min="980" max="980" width="14.85546875" bestFit="1" customWidth="1"/>
    <col min="981" max="981" width="10.42578125" bestFit="1" customWidth="1"/>
    <col min="982" max="982" width="12.5703125" bestFit="1" customWidth="1"/>
    <col min="983" max="983" width="10.42578125" bestFit="1" customWidth="1"/>
    <col min="984" max="984" width="12.5703125" bestFit="1" customWidth="1"/>
    <col min="985" max="985" width="14.85546875" bestFit="1" customWidth="1"/>
    <col min="986" max="986" width="10.42578125" bestFit="1" customWidth="1"/>
    <col min="987" max="987" width="16" bestFit="1" customWidth="1"/>
    <col min="988" max="988" width="12.5703125" bestFit="1" customWidth="1"/>
    <col min="989" max="989" width="10.42578125" bestFit="1" customWidth="1"/>
    <col min="990" max="990" width="13.140625" bestFit="1" customWidth="1"/>
    <col min="991" max="991" width="10.42578125" bestFit="1" customWidth="1"/>
    <col min="992" max="992" width="11.7109375" bestFit="1" customWidth="1"/>
    <col min="993" max="993" width="10.42578125" bestFit="1" customWidth="1"/>
    <col min="994" max="994" width="17.5703125" bestFit="1" customWidth="1"/>
    <col min="995" max="995" width="20.7109375" bestFit="1" customWidth="1"/>
    <col min="996" max="996" width="15.140625" bestFit="1" customWidth="1"/>
    <col min="997" max="997" width="9.7109375" bestFit="1" customWidth="1"/>
    <col min="998" max="998" width="11.7109375" bestFit="1" customWidth="1"/>
    <col min="999" max="999" width="15.140625" bestFit="1" customWidth="1"/>
    <col min="1000" max="1000" width="9.7109375" bestFit="1" customWidth="1"/>
    <col min="1001" max="1001" width="14.140625" bestFit="1" customWidth="1"/>
    <col min="1002" max="1002" width="15.140625" bestFit="1" customWidth="1"/>
    <col min="1003" max="1003" width="9.7109375" bestFit="1" customWidth="1"/>
    <col min="1004" max="1004" width="11.7109375" bestFit="1" customWidth="1"/>
    <col min="1005" max="1005" width="15.7109375" bestFit="1" customWidth="1"/>
    <col min="1006" max="1006" width="10.28515625" bestFit="1" customWidth="1"/>
    <col min="1007" max="1007" width="16" bestFit="1" customWidth="1"/>
    <col min="1008" max="1008" width="11.7109375" bestFit="1" customWidth="1"/>
    <col min="1009" max="1009" width="15.85546875" bestFit="1" customWidth="1"/>
    <col min="1010" max="1010" width="10.42578125" bestFit="1" customWidth="1"/>
    <col min="1011" max="1012" width="14.85546875" bestFit="1" customWidth="1"/>
    <col min="1013" max="1013" width="14.140625" bestFit="1" customWidth="1"/>
    <col min="1014" max="1014" width="15.85546875" bestFit="1" customWidth="1"/>
    <col min="1015" max="1015" width="10.42578125" bestFit="1" customWidth="1"/>
    <col min="1016" max="1016" width="14.85546875" bestFit="1" customWidth="1"/>
    <col min="1017" max="1017" width="16" bestFit="1" customWidth="1"/>
    <col min="1018" max="1018" width="10.5703125" bestFit="1" customWidth="1"/>
    <col min="1019" max="1019" width="12.5703125" bestFit="1" customWidth="1"/>
    <col min="1020" max="1020" width="11.7109375" bestFit="1" customWidth="1"/>
    <col min="1021" max="1021" width="16" bestFit="1" customWidth="1"/>
    <col min="1022" max="1022" width="10.5703125" bestFit="1" customWidth="1"/>
    <col min="1023" max="1023" width="12.5703125" bestFit="1" customWidth="1"/>
    <col min="1024" max="1024" width="16" bestFit="1" customWidth="1"/>
    <col min="1025" max="1025" width="10.5703125" bestFit="1" customWidth="1"/>
    <col min="1026" max="1026" width="12.5703125" bestFit="1" customWidth="1"/>
    <col min="1027" max="1027" width="16" bestFit="1" customWidth="1"/>
    <col min="1028" max="1028" width="10.5703125" bestFit="1" customWidth="1"/>
    <col min="1029" max="1029" width="11.7109375" bestFit="1" customWidth="1"/>
    <col min="1030" max="1030" width="16" bestFit="1" customWidth="1"/>
    <col min="1031" max="1031" width="10.5703125" bestFit="1" customWidth="1"/>
    <col min="1032" max="1032" width="11.7109375" bestFit="1" customWidth="1"/>
    <col min="1033" max="1033" width="16" bestFit="1" customWidth="1"/>
    <col min="1034" max="1034" width="10.5703125" bestFit="1" customWidth="1"/>
    <col min="1035" max="1036" width="14.85546875" bestFit="1" customWidth="1"/>
    <col min="1037" max="1037" width="10.140625" bestFit="1" customWidth="1"/>
    <col min="1038" max="1038" width="15.140625" bestFit="1" customWidth="1"/>
    <col min="1039" max="1039" width="9.28515625" bestFit="1" customWidth="1"/>
    <col min="1040" max="1040" width="12.5703125" bestFit="1" customWidth="1"/>
    <col min="1041" max="1041" width="14.140625" bestFit="1" customWidth="1"/>
    <col min="1042" max="1042" width="15.140625" bestFit="1" customWidth="1"/>
    <col min="1043" max="1043" width="9.28515625" bestFit="1" customWidth="1"/>
    <col min="1044" max="1044" width="16" bestFit="1" customWidth="1"/>
    <col min="1045" max="1045" width="15.85546875" bestFit="1" customWidth="1"/>
    <col min="1046" max="1046" width="10" bestFit="1" customWidth="1"/>
    <col min="1047" max="1047" width="14.140625" bestFit="1" customWidth="1"/>
    <col min="1048" max="1048" width="15.85546875" bestFit="1" customWidth="1"/>
    <col min="1049" max="1049" width="10" bestFit="1" customWidth="1"/>
    <col min="1050" max="1050" width="16" bestFit="1" customWidth="1"/>
    <col min="1051" max="1051" width="10.140625" bestFit="1" customWidth="1"/>
    <col min="1052" max="1052" width="15.85546875" bestFit="1" customWidth="1"/>
    <col min="1053" max="1053" width="10" bestFit="1" customWidth="1"/>
    <col min="1054" max="1054" width="16" bestFit="1" customWidth="1"/>
    <col min="1055" max="1055" width="10.140625" bestFit="1" customWidth="1"/>
    <col min="1056" max="1056" width="15.85546875" bestFit="1" customWidth="1"/>
    <col min="1057" max="1057" width="10" bestFit="1" customWidth="1"/>
    <col min="1058" max="1058" width="14.85546875" bestFit="1" customWidth="1"/>
    <col min="1059" max="1059" width="15.85546875" bestFit="1" customWidth="1"/>
    <col min="1060" max="1060" width="10" bestFit="1" customWidth="1"/>
    <col min="1061" max="1061" width="14.85546875" bestFit="1" customWidth="1"/>
    <col min="1062" max="1062" width="15.85546875" bestFit="1" customWidth="1"/>
    <col min="1063" max="1063" width="10" bestFit="1" customWidth="1"/>
    <col min="1064" max="1064" width="11.5703125" bestFit="1" customWidth="1"/>
    <col min="1065" max="1065" width="15.85546875" bestFit="1" customWidth="1"/>
    <col min="1066" max="1066" width="10" bestFit="1" customWidth="1"/>
    <col min="1067" max="1067" width="12.5703125" bestFit="1" customWidth="1"/>
    <col min="1068" max="1068" width="16" bestFit="1" customWidth="1"/>
    <col min="1069" max="1069" width="10.140625" bestFit="1" customWidth="1"/>
    <col min="1070" max="1070" width="14.140625" bestFit="1" customWidth="1"/>
    <col min="1071" max="1071" width="11.7109375" bestFit="1" customWidth="1"/>
    <col min="1072" max="1072" width="15.85546875" bestFit="1" customWidth="1"/>
    <col min="1073" max="1073" width="10" bestFit="1" customWidth="1"/>
    <col min="1074" max="1074" width="12.5703125" bestFit="1" customWidth="1"/>
    <col min="1075" max="1075" width="12.7109375" bestFit="1" customWidth="1"/>
    <col min="1076" max="1076" width="16" bestFit="1" customWidth="1"/>
    <col min="1077" max="1077" width="10.140625" bestFit="1" customWidth="1"/>
    <col min="1078" max="1078" width="11.7109375" bestFit="1" customWidth="1"/>
    <col min="1079" max="1079" width="16" bestFit="1" customWidth="1"/>
    <col min="1080" max="1080" width="10.140625" bestFit="1" customWidth="1"/>
    <col min="1081" max="1081" width="14.85546875" bestFit="1" customWidth="1"/>
    <col min="1082" max="1082" width="16" bestFit="1" customWidth="1"/>
    <col min="1083" max="1083" width="10.140625" bestFit="1" customWidth="1"/>
    <col min="1084" max="1084" width="13.140625" bestFit="1" customWidth="1"/>
    <col min="1085" max="1085" width="16" bestFit="1" customWidth="1"/>
    <col min="1086" max="1086" width="10.140625" bestFit="1" customWidth="1"/>
    <col min="1087" max="1087" width="16" bestFit="1" customWidth="1"/>
    <col min="1088" max="1088" width="14.85546875" bestFit="1" customWidth="1"/>
    <col min="1089" max="1089" width="15.85546875" bestFit="1" customWidth="1"/>
    <col min="1090" max="1090" width="10" bestFit="1" customWidth="1"/>
    <col min="1091" max="1092" width="14.85546875" bestFit="1" customWidth="1"/>
    <col min="1093" max="1093" width="13.140625" bestFit="1" customWidth="1"/>
    <col min="1094" max="1094" width="15.140625" bestFit="1" customWidth="1"/>
    <col min="1095" max="1095" width="10" bestFit="1" customWidth="1"/>
    <col min="1096" max="1096" width="12.5703125" bestFit="1" customWidth="1"/>
    <col min="1097" max="1097" width="15.140625" bestFit="1" customWidth="1"/>
    <col min="1098" max="1098" width="10" bestFit="1" customWidth="1"/>
    <col min="1099" max="1099" width="12.5703125" bestFit="1" customWidth="1"/>
    <col min="1100" max="1100" width="15.140625" bestFit="1" customWidth="1"/>
    <col min="1101" max="1101" width="10" bestFit="1" customWidth="1"/>
    <col min="1102" max="1102" width="13.140625" bestFit="1" customWidth="1"/>
    <col min="1103" max="1103" width="15.140625" bestFit="1" customWidth="1"/>
    <col min="1104" max="1104" width="10" bestFit="1" customWidth="1"/>
    <col min="1105" max="1105" width="12.5703125" bestFit="1" customWidth="1"/>
    <col min="1106" max="1106" width="15.140625" bestFit="1" customWidth="1"/>
    <col min="1107" max="1107" width="10" bestFit="1" customWidth="1"/>
    <col min="1108" max="1108" width="12.5703125" bestFit="1" customWidth="1"/>
    <col min="1109" max="1109" width="15.85546875" bestFit="1" customWidth="1"/>
    <col min="1110" max="1110" width="10.7109375" bestFit="1" customWidth="1"/>
    <col min="1111" max="1111" width="14.85546875" bestFit="1" customWidth="1"/>
    <col min="1112" max="1112" width="13.140625" bestFit="1" customWidth="1"/>
    <col min="1113" max="1113" width="15.85546875" bestFit="1" customWidth="1"/>
    <col min="1114" max="1114" width="10.7109375" bestFit="1" customWidth="1"/>
    <col min="1115" max="1115" width="12.5703125" bestFit="1" customWidth="1"/>
    <col min="1116" max="1116" width="15.85546875" bestFit="1" customWidth="1"/>
    <col min="1117" max="1117" width="10.7109375" bestFit="1" customWidth="1"/>
    <col min="1118" max="1118" width="14.85546875" bestFit="1" customWidth="1"/>
    <col min="1119" max="1119" width="15.85546875" bestFit="1" customWidth="1"/>
    <col min="1120" max="1120" width="10.7109375" bestFit="1" customWidth="1"/>
    <col min="1121" max="1121" width="12.5703125" bestFit="1" customWidth="1"/>
    <col min="1122" max="1122" width="14.85546875" bestFit="1" customWidth="1"/>
    <col min="1123" max="1123" width="14.140625" bestFit="1" customWidth="1"/>
    <col min="1124" max="1124" width="15.85546875" bestFit="1" customWidth="1"/>
    <col min="1125" max="1125" width="10.7109375" bestFit="1" customWidth="1"/>
    <col min="1126" max="1126" width="16" bestFit="1" customWidth="1"/>
    <col min="1127" max="1127" width="15.85546875" bestFit="1" customWidth="1"/>
    <col min="1128" max="1128" width="10.7109375" bestFit="1" customWidth="1"/>
    <col min="1129" max="1129" width="14.85546875" bestFit="1" customWidth="1"/>
    <col min="1130" max="1130" width="11.7109375" bestFit="1" customWidth="1"/>
    <col min="1131" max="1131" width="16" bestFit="1" customWidth="1"/>
    <col min="1132" max="1132" width="10.85546875" bestFit="1" customWidth="1"/>
    <col min="1133" max="1133" width="16" bestFit="1" customWidth="1"/>
    <col min="1134" max="1134" width="14.85546875" bestFit="1" customWidth="1"/>
    <col min="1135" max="1135" width="16" bestFit="1" customWidth="1"/>
    <col min="1136" max="1136" width="10.85546875" bestFit="1" customWidth="1"/>
    <col min="1137" max="1138" width="14.85546875" bestFit="1" customWidth="1"/>
    <col min="1139" max="1139" width="16" bestFit="1" customWidth="1"/>
    <col min="1140" max="1140" width="10.85546875" bestFit="1" customWidth="1"/>
    <col min="1141" max="1141" width="14.140625" bestFit="1" customWidth="1"/>
    <col min="1142" max="1142" width="16" bestFit="1" customWidth="1"/>
    <col min="1143" max="1143" width="10.85546875" bestFit="1" customWidth="1"/>
    <col min="1144" max="1144" width="12.5703125" bestFit="1" customWidth="1"/>
    <col min="1145" max="1145" width="12.7109375" bestFit="1" customWidth="1"/>
    <col min="1146" max="1146" width="16" bestFit="1" customWidth="1"/>
    <col min="1147" max="1147" width="10.85546875" bestFit="1" customWidth="1"/>
    <col min="1148" max="1148" width="14.85546875" bestFit="1" customWidth="1"/>
    <col min="1149" max="1149" width="15" bestFit="1" customWidth="1"/>
    <col min="1150" max="1150" width="9.5703125" bestFit="1" customWidth="1"/>
    <col min="1151" max="1151" width="12.5703125" bestFit="1" customWidth="1"/>
    <col min="1152" max="1152" width="14.85546875" bestFit="1" customWidth="1"/>
    <col min="1153" max="1153" width="15.140625" bestFit="1" customWidth="1"/>
    <col min="1154" max="1154" width="9.7109375" bestFit="1" customWidth="1"/>
    <col min="1155" max="1155" width="12.7109375" bestFit="1" customWidth="1"/>
    <col min="1156" max="1156" width="15.140625" bestFit="1" customWidth="1"/>
    <col min="1157" max="1157" width="9.7109375" bestFit="1" customWidth="1"/>
    <col min="1158" max="1158" width="16" bestFit="1" customWidth="1"/>
    <col min="1159" max="1159" width="10.140625" bestFit="1" customWidth="1"/>
    <col min="1160" max="1160" width="15.140625" bestFit="1" customWidth="1"/>
    <col min="1161" max="1161" width="9.7109375" bestFit="1" customWidth="1"/>
    <col min="1162" max="1162" width="12.5703125" bestFit="1" customWidth="1"/>
    <col min="1163" max="1163" width="15.140625" bestFit="1" customWidth="1"/>
    <col min="1164" max="1164" width="9.7109375" bestFit="1" customWidth="1"/>
    <col min="1165" max="1165" width="16" bestFit="1" customWidth="1"/>
    <col min="1166" max="1166" width="14.85546875" bestFit="1" customWidth="1"/>
    <col min="1167" max="1167" width="15.140625" bestFit="1" customWidth="1"/>
    <col min="1168" max="1168" width="9.7109375" bestFit="1" customWidth="1"/>
    <col min="1169" max="1169" width="14.85546875" bestFit="1" customWidth="1"/>
    <col min="1170" max="1170" width="15.85546875" bestFit="1" customWidth="1"/>
    <col min="1171" max="1171" width="10.42578125" bestFit="1" customWidth="1"/>
    <col min="1172" max="1172" width="16" bestFit="1" customWidth="1"/>
    <col min="1173" max="1173" width="15.85546875" bestFit="1" customWidth="1"/>
    <col min="1174" max="1174" width="10.42578125" bestFit="1" customWidth="1"/>
    <col min="1175" max="1175" width="12.5703125" bestFit="1" customWidth="1"/>
    <col min="1176" max="1176" width="15.85546875" bestFit="1" customWidth="1"/>
    <col min="1177" max="1177" width="10.42578125" bestFit="1" customWidth="1"/>
    <col min="1178" max="1178" width="14.140625" bestFit="1" customWidth="1"/>
    <col min="1179" max="1179" width="15.85546875" bestFit="1" customWidth="1"/>
    <col min="1180" max="1180" width="10.42578125" bestFit="1" customWidth="1"/>
    <col min="1181" max="1181" width="12.5703125" bestFit="1" customWidth="1"/>
    <col min="1182" max="1182" width="15.85546875" bestFit="1" customWidth="1"/>
    <col min="1183" max="1183" width="10.42578125" bestFit="1" customWidth="1"/>
    <col min="1184" max="1184" width="14.85546875" bestFit="1" customWidth="1"/>
    <col min="1185" max="1185" width="15.85546875" bestFit="1" customWidth="1"/>
    <col min="1186" max="1186" width="10.42578125" bestFit="1" customWidth="1"/>
    <col min="1187" max="1187" width="14.140625" bestFit="1" customWidth="1"/>
    <col min="1188" max="1188" width="16" bestFit="1" customWidth="1"/>
    <col min="1189" max="1189" width="10.5703125" bestFit="1" customWidth="1"/>
    <col min="1190" max="1190" width="13.140625" bestFit="1" customWidth="1"/>
    <col min="1191" max="1191" width="15.85546875" bestFit="1" customWidth="1"/>
    <col min="1192" max="1192" width="10.42578125" bestFit="1" customWidth="1"/>
    <col min="1193" max="1193" width="12.5703125" bestFit="1" customWidth="1"/>
    <col min="1194" max="1194" width="16" bestFit="1" customWidth="1"/>
    <col min="1195" max="1195" width="10.5703125" bestFit="1" customWidth="1"/>
    <col min="1196" max="1196" width="13.140625" bestFit="1" customWidth="1"/>
    <col min="1197" max="1197" width="16" bestFit="1" customWidth="1"/>
    <col min="1198" max="1198" width="10.5703125" bestFit="1" customWidth="1"/>
    <col min="1199" max="1199" width="14.85546875" bestFit="1" customWidth="1"/>
    <col min="1200" max="1200" width="16" bestFit="1" customWidth="1"/>
    <col min="1201" max="1201" width="10.5703125" bestFit="1" customWidth="1"/>
    <col min="1202" max="1202" width="13.140625" bestFit="1" customWidth="1"/>
    <col min="1203" max="1203" width="12.7109375" bestFit="1" customWidth="1"/>
    <col min="1204" max="1204" width="16" bestFit="1" customWidth="1"/>
    <col min="1205" max="1205" width="10.5703125" bestFit="1" customWidth="1"/>
    <col min="1206" max="1206" width="11.7109375" bestFit="1" customWidth="1"/>
    <col min="1207" max="1207" width="16" bestFit="1" customWidth="1"/>
    <col min="1208" max="1208" width="10.5703125" bestFit="1" customWidth="1"/>
    <col min="1209" max="1209" width="14.140625" bestFit="1" customWidth="1"/>
    <col min="1210" max="1210" width="16" bestFit="1" customWidth="1"/>
    <col min="1211" max="1211" width="10.5703125" bestFit="1" customWidth="1"/>
    <col min="1212" max="1212" width="14.85546875" bestFit="1" customWidth="1"/>
    <col min="1213" max="1213" width="16" bestFit="1" customWidth="1"/>
    <col min="1214" max="1214" width="10.5703125" bestFit="1" customWidth="1"/>
    <col min="1215" max="1215" width="12.5703125" bestFit="1" customWidth="1"/>
    <col min="1216" max="1216" width="16" bestFit="1" customWidth="1"/>
    <col min="1217" max="1217" width="10.5703125" bestFit="1" customWidth="1"/>
    <col min="1218" max="1218" width="12.5703125" bestFit="1" customWidth="1"/>
    <col min="1219" max="1219" width="14.85546875" bestFit="1" customWidth="1"/>
    <col min="1220" max="1220" width="9.42578125" bestFit="1" customWidth="1"/>
    <col min="1221" max="1221" width="16" bestFit="1" customWidth="1"/>
    <col min="1222" max="1222" width="15" bestFit="1" customWidth="1"/>
    <col min="1223" max="1223" width="9.5703125" bestFit="1" customWidth="1"/>
    <col min="1224" max="1224" width="16" bestFit="1" customWidth="1"/>
    <col min="1225" max="1225" width="13.140625" bestFit="1" customWidth="1"/>
    <col min="1226" max="1226" width="11.7109375" bestFit="1" customWidth="1"/>
    <col min="1227" max="1227" width="10.140625" bestFit="1" customWidth="1"/>
    <col min="1228" max="1228" width="15" bestFit="1" customWidth="1"/>
    <col min="1229" max="1229" width="9.5703125" bestFit="1" customWidth="1"/>
    <col min="1230" max="1230" width="16" bestFit="1" customWidth="1"/>
    <col min="1231" max="1231" width="15" bestFit="1" customWidth="1"/>
    <col min="1232" max="1232" width="9.5703125" bestFit="1" customWidth="1"/>
    <col min="1233" max="1233" width="13.140625" bestFit="1" customWidth="1"/>
    <col min="1234" max="1234" width="10.140625" bestFit="1" customWidth="1"/>
    <col min="1235" max="1235" width="15.7109375" bestFit="1" customWidth="1"/>
    <col min="1236" max="1236" width="10.28515625" bestFit="1" customWidth="1"/>
    <col min="1237" max="1237" width="14.85546875" bestFit="1" customWidth="1"/>
    <col min="1238" max="1238" width="15.7109375" bestFit="1" customWidth="1"/>
    <col min="1239" max="1239" width="10.28515625" bestFit="1" customWidth="1"/>
    <col min="1240" max="1240" width="14.140625" bestFit="1" customWidth="1"/>
    <col min="1241" max="1241" width="15.7109375" bestFit="1" customWidth="1"/>
    <col min="1242" max="1242" width="10.28515625" bestFit="1" customWidth="1"/>
    <col min="1243" max="1243" width="12.5703125" bestFit="1" customWidth="1"/>
    <col min="1244" max="1244" width="15.7109375" bestFit="1" customWidth="1"/>
    <col min="1245" max="1245" width="10.28515625" bestFit="1" customWidth="1"/>
    <col min="1246" max="1246" width="14.140625" bestFit="1" customWidth="1"/>
    <col min="1247" max="1247" width="15.7109375" bestFit="1" customWidth="1"/>
    <col min="1248" max="1248" width="10.28515625" bestFit="1" customWidth="1"/>
    <col min="1249" max="1249" width="12.5703125" bestFit="1" customWidth="1"/>
    <col min="1250" max="1250" width="15.7109375" bestFit="1" customWidth="1"/>
    <col min="1251" max="1251" width="10.28515625" bestFit="1" customWidth="1"/>
    <col min="1252" max="1252" width="11.7109375" bestFit="1" customWidth="1"/>
    <col min="1253" max="1253" width="15.7109375" bestFit="1" customWidth="1"/>
    <col min="1254" max="1254" width="10.28515625" bestFit="1" customWidth="1"/>
    <col min="1255" max="1255" width="14.85546875" bestFit="1" customWidth="1"/>
    <col min="1256" max="1256" width="15.7109375" bestFit="1" customWidth="1"/>
    <col min="1257" max="1257" width="10.28515625" bestFit="1" customWidth="1"/>
    <col min="1258" max="1258" width="11.7109375" bestFit="1" customWidth="1"/>
    <col min="1259" max="1259" width="15.85546875" bestFit="1" customWidth="1"/>
    <col min="1260" max="1260" width="10.42578125" bestFit="1" customWidth="1"/>
    <col min="1261" max="1261" width="16" bestFit="1" customWidth="1"/>
    <col min="1262" max="1262" width="12.5703125" bestFit="1" customWidth="1"/>
    <col min="1263" max="1263" width="14.85546875" bestFit="1" customWidth="1"/>
    <col min="1264" max="1264" width="15.7109375" bestFit="1" customWidth="1"/>
    <col min="1265" max="1265" width="10.28515625" bestFit="1" customWidth="1"/>
    <col min="1266" max="1266" width="14.85546875" bestFit="1" customWidth="1"/>
    <col min="1267" max="1267" width="15.85546875" bestFit="1" customWidth="1"/>
    <col min="1268" max="1268" width="10.42578125" bestFit="1" customWidth="1"/>
    <col min="1269" max="1269" width="14.85546875" bestFit="1" customWidth="1"/>
    <col min="1270" max="1270" width="13.140625" bestFit="1" customWidth="1"/>
    <col min="1271" max="1271" width="15.85546875" bestFit="1" customWidth="1"/>
    <col min="1272" max="1272" width="10.42578125" bestFit="1" customWidth="1"/>
    <col min="1273" max="1273" width="13.140625" bestFit="1" customWidth="1"/>
    <col min="1274" max="1274" width="14.7109375" bestFit="1" customWidth="1"/>
    <col min="1275" max="1275" width="9.85546875" bestFit="1" customWidth="1"/>
    <col min="1276" max="1276" width="13.140625" bestFit="1" customWidth="1"/>
    <col min="1277" max="1277" width="14.85546875" bestFit="1" customWidth="1"/>
    <col min="1278" max="1278" width="10" bestFit="1" customWidth="1"/>
    <col min="1279" max="1279" width="14.140625" bestFit="1" customWidth="1"/>
    <col min="1280" max="1280" width="14.85546875" bestFit="1" customWidth="1"/>
    <col min="1281" max="1281" width="10" bestFit="1" customWidth="1"/>
    <col min="1282" max="1282" width="14.140625" bestFit="1" customWidth="1"/>
    <col min="1283" max="1283" width="14.85546875" bestFit="1" customWidth="1"/>
    <col min="1284" max="1284" width="10" bestFit="1" customWidth="1"/>
    <col min="1285" max="1285" width="10.5703125" bestFit="1" customWidth="1"/>
    <col min="1286" max="1286" width="14.85546875" bestFit="1" customWidth="1"/>
    <col min="1287" max="1287" width="10" bestFit="1" customWidth="1"/>
    <col min="1288" max="1289" width="14.85546875" bestFit="1" customWidth="1"/>
    <col min="1290" max="1290" width="10" bestFit="1" customWidth="1"/>
    <col min="1291" max="1291" width="16" bestFit="1" customWidth="1"/>
    <col min="1292" max="1292" width="12.7109375" bestFit="1" customWidth="1"/>
    <col min="1293" max="1293" width="14.85546875" bestFit="1" customWidth="1"/>
    <col min="1294" max="1294" width="10" bestFit="1" customWidth="1"/>
    <col min="1295" max="1295" width="16" bestFit="1" customWidth="1"/>
    <col min="1296" max="1296" width="14.85546875" bestFit="1" customWidth="1"/>
    <col min="1297" max="1297" width="10" bestFit="1" customWidth="1"/>
    <col min="1298" max="1298" width="12.7109375" bestFit="1" customWidth="1"/>
    <col min="1299" max="1299" width="15.42578125" bestFit="1" customWidth="1"/>
    <col min="1300" max="1300" width="10.5703125" bestFit="1" customWidth="1"/>
    <col min="1301" max="1301" width="12.7109375" bestFit="1" customWidth="1"/>
    <col min="1302" max="1302" width="15.5703125" bestFit="1" customWidth="1"/>
    <col min="1303" max="1303" width="10.7109375" bestFit="1" customWidth="1"/>
    <col min="1304" max="1304" width="12.5703125" bestFit="1" customWidth="1"/>
    <col min="1305" max="1305" width="10.140625" bestFit="1" customWidth="1"/>
    <col min="1306" max="1306" width="15.5703125" bestFit="1" customWidth="1"/>
    <col min="1307" max="1307" width="10.7109375" bestFit="1" customWidth="1"/>
    <col min="1308" max="1308" width="16" bestFit="1" customWidth="1"/>
    <col min="1309" max="1309" width="14.85546875" bestFit="1" customWidth="1"/>
    <col min="1310" max="1310" width="15.5703125" bestFit="1" customWidth="1"/>
    <col min="1311" max="1311" width="10.7109375" bestFit="1" customWidth="1"/>
    <col min="1312" max="1312" width="16" bestFit="1" customWidth="1"/>
    <col min="1313" max="1313" width="15.5703125" bestFit="1" customWidth="1"/>
    <col min="1314" max="1314" width="10.7109375" bestFit="1" customWidth="1"/>
    <col min="1315" max="1315" width="16" bestFit="1" customWidth="1"/>
    <col min="1316" max="1316" width="14.140625" bestFit="1" customWidth="1"/>
    <col min="1317" max="1317" width="15.5703125" bestFit="1" customWidth="1"/>
    <col min="1318" max="1318" width="10.7109375" bestFit="1" customWidth="1"/>
    <col min="1319" max="1319" width="14.85546875" bestFit="1" customWidth="1"/>
    <col min="1320" max="1320" width="13.140625" bestFit="1" customWidth="1"/>
    <col min="1321" max="1321" width="15.7109375" bestFit="1" customWidth="1"/>
    <col min="1322" max="1322" width="10.85546875" bestFit="1" customWidth="1"/>
    <col min="1323" max="1323" width="14.85546875" bestFit="1" customWidth="1"/>
    <col min="1324" max="1324" width="14.140625" bestFit="1" customWidth="1"/>
    <col min="1325" max="1325" width="15.7109375" bestFit="1" customWidth="1"/>
    <col min="1326" max="1326" width="10.85546875" bestFit="1" customWidth="1"/>
    <col min="1327" max="1327" width="14.85546875" bestFit="1" customWidth="1"/>
    <col min="1328" max="1328" width="15.7109375" bestFit="1" customWidth="1"/>
    <col min="1329" max="1329" width="10.85546875" bestFit="1" customWidth="1"/>
    <col min="1330" max="1330" width="12.5703125" bestFit="1" customWidth="1"/>
    <col min="1331" max="1331" width="15.7109375" bestFit="1" customWidth="1"/>
    <col min="1332" max="1332" width="10.85546875" bestFit="1" customWidth="1"/>
    <col min="1333" max="1333" width="12.5703125" bestFit="1" customWidth="1"/>
    <col min="1334" max="1334" width="10.140625" bestFit="1" customWidth="1"/>
    <col min="1335" max="1335" width="15.7109375" bestFit="1" customWidth="1"/>
    <col min="1336" max="1336" width="10.85546875" bestFit="1" customWidth="1"/>
    <col min="1337" max="1337" width="14.85546875" bestFit="1" customWidth="1"/>
    <col min="1338" max="1338" width="11.7109375" bestFit="1" customWidth="1"/>
    <col min="1339" max="1339" width="15" bestFit="1" customWidth="1"/>
    <col min="1340" max="1340" width="9.5703125" bestFit="1" customWidth="1"/>
    <col min="1341" max="1341" width="12.5703125" bestFit="1" customWidth="1"/>
    <col min="1342" max="1342" width="13.140625" bestFit="1" customWidth="1"/>
    <col min="1343" max="1343" width="15" bestFit="1" customWidth="1"/>
    <col min="1344" max="1344" width="9.5703125" bestFit="1" customWidth="1"/>
    <col min="1345" max="1345" width="14.140625" bestFit="1" customWidth="1"/>
    <col min="1346" max="1346" width="11.7109375" bestFit="1" customWidth="1"/>
    <col min="1347" max="1347" width="15" bestFit="1" customWidth="1"/>
    <col min="1348" max="1348" width="9.5703125" bestFit="1" customWidth="1"/>
    <col min="1349" max="1349" width="14.85546875" bestFit="1" customWidth="1"/>
    <col min="1350" max="1350" width="14.140625" bestFit="1" customWidth="1"/>
    <col min="1351" max="1351" width="15" bestFit="1" customWidth="1"/>
    <col min="1352" max="1352" width="9.5703125" bestFit="1" customWidth="1"/>
    <col min="1353" max="1353" width="14.85546875" bestFit="1" customWidth="1"/>
    <col min="1354" max="1354" width="15" bestFit="1" customWidth="1"/>
    <col min="1355" max="1355" width="9.5703125" bestFit="1" customWidth="1"/>
    <col min="1356" max="1356" width="12.5703125" bestFit="1" customWidth="1"/>
    <col min="1357" max="1357" width="15" bestFit="1" customWidth="1"/>
    <col min="1358" max="1358" width="9.5703125" bestFit="1" customWidth="1"/>
    <col min="1359" max="1359" width="14.85546875" bestFit="1" customWidth="1"/>
    <col min="1360" max="1360" width="13.140625" bestFit="1" customWidth="1"/>
    <col min="1361" max="1361" width="15.7109375" bestFit="1" customWidth="1"/>
    <col min="1362" max="1362" width="10.28515625" bestFit="1" customWidth="1"/>
    <col min="1363" max="1363" width="11.28515625" bestFit="1" customWidth="1"/>
    <col min="1364" max="1364" width="15.5703125" bestFit="1" customWidth="1"/>
    <col min="1365" max="1365" width="10.140625" bestFit="1" customWidth="1"/>
    <col min="1366" max="1366" width="14.85546875" bestFit="1" customWidth="1"/>
    <col min="1367" max="1367" width="13.140625" bestFit="1" customWidth="1"/>
    <col min="1368" max="1368" width="11.7109375" bestFit="1" customWidth="1"/>
    <col min="1369" max="1369" width="15.7109375" bestFit="1" customWidth="1"/>
    <col min="1370" max="1370" width="10.28515625" bestFit="1" customWidth="1"/>
    <col min="1371" max="1371" width="14.140625" bestFit="1" customWidth="1"/>
    <col min="1372" max="1372" width="15.7109375" bestFit="1" customWidth="1"/>
    <col min="1373" max="1373" width="10.28515625" bestFit="1" customWidth="1"/>
    <col min="1374" max="1374" width="14.85546875" bestFit="1" customWidth="1"/>
    <col min="1375" max="1375" width="15.7109375" bestFit="1" customWidth="1"/>
    <col min="1376" max="1376" width="10.28515625" bestFit="1" customWidth="1"/>
    <col min="1377" max="1377" width="11.42578125" bestFit="1" customWidth="1"/>
    <col min="1378" max="1378" width="15.7109375" bestFit="1" customWidth="1"/>
    <col min="1379" max="1379" width="10.28515625"/>
    <col min="1380" max="1380" width="16" bestFit="1" customWidth="1"/>
    <col min="1381" max="1381" width="15.7109375" bestFit="1" customWidth="1"/>
    <col min="1382" max="1382" width="10.28515625" bestFit="1" customWidth="1"/>
    <col min="1383" max="1383" width="14.85546875" bestFit="1" customWidth="1"/>
    <col min="1384" max="1384" width="15.85546875" bestFit="1" customWidth="1"/>
    <col min="1385" max="1385" width="10.42578125" bestFit="1" customWidth="1"/>
    <col min="1386" max="1386" width="14.85546875" bestFit="1" customWidth="1"/>
    <col min="1387" max="1387" width="15.7109375" bestFit="1" customWidth="1"/>
    <col min="1388" max="1388" width="10.28515625" bestFit="1" customWidth="1"/>
    <col min="1389" max="1389" width="16" bestFit="1" customWidth="1"/>
    <col min="1390" max="1390" width="14.85546875" bestFit="1" customWidth="1"/>
    <col min="1391" max="1391" width="15.85546875" bestFit="1" customWidth="1"/>
    <col min="1392" max="1392" width="10.42578125" bestFit="1" customWidth="1"/>
    <col min="1393" max="1393" width="12.5703125" bestFit="1" customWidth="1"/>
    <col min="1394" max="1394" width="15.85546875" bestFit="1" customWidth="1"/>
    <col min="1395" max="1395" width="10.42578125" bestFit="1" customWidth="1"/>
    <col min="1396" max="1396" width="12.5703125" bestFit="1" customWidth="1"/>
    <col min="1397" max="1397" width="14.85546875" bestFit="1" customWidth="1"/>
    <col min="1398" max="1398" width="15.85546875" bestFit="1" customWidth="1"/>
    <col min="1399" max="1399" width="10.42578125" bestFit="1" customWidth="1"/>
    <col min="1400" max="1400" width="16" bestFit="1" customWidth="1"/>
    <col min="1401" max="1401" width="12.5703125" bestFit="1" customWidth="1"/>
    <col min="1402" max="1402" width="15.85546875" bestFit="1" customWidth="1"/>
    <col min="1403" max="1403" width="10.42578125" bestFit="1" customWidth="1"/>
    <col min="1404" max="1404" width="13.140625" bestFit="1" customWidth="1"/>
    <col min="1405" max="1405" width="15.85546875" bestFit="1" customWidth="1"/>
    <col min="1406" max="1406" width="10.42578125" bestFit="1" customWidth="1"/>
    <col min="1407" max="1407" width="11.7109375" bestFit="1" customWidth="1"/>
    <col min="1408" max="1408" width="15.85546875" bestFit="1" customWidth="1"/>
    <col min="1409" max="1409" width="10.42578125" bestFit="1" customWidth="1"/>
    <col min="1410" max="1410" width="17.5703125" bestFit="1" customWidth="1"/>
    <col min="1411" max="1411" width="20.7109375" bestFit="1" customWidth="1"/>
    <col min="1412" max="1412" width="9.85546875" bestFit="1" customWidth="1"/>
    <col min="1413" max="1413" width="12.5703125" bestFit="1" customWidth="1"/>
    <col min="1414" max="1414" width="15" bestFit="1" customWidth="1"/>
    <col min="1415" max="1415" width="9.85546875" bestFit="1" customWidth="1"/>
    <col min="1416" max="1416" width="14.85546875" bestFit="1" customWidth="1"/>
    <col min="1417" max="1417" width="15" bestFit="1" customWidth="1"/>
    <col min="1418" max="1418" width="9.85546875" bestFit="1" customWidth="1"/>
    <col min="1419" max="1419" width="14.140625" bestFit="1" customWidth="1"/>
    <col min="1420" max="1420" width="15" bestFit="1" customWidth="1"/>
    <col min="1421" max="1421" width="9.85546875" bestFit="1" customWidth="1"/>
    <col min="1422" max="1422" width="13.140625" bestFit="1" customWidth="1"/>
    <col min="1423" max="1423" width="15" bestFit="1" customWidth="1"/>
    <col min="1424" max="1424" width="9.85546875" bestFit="1" customWidth="1"/>
    <col min="1425" max="1425" width="14.85546875" bestFit="1" customWidth="1"/>
    <col min="1426" max="1426" width="15.5703125" bestFit="1" customWidth="1"/>
    <col min="1427" max="1427" width="10.42578125" bestFit="1" customWidth="1"/>
    <col min="1428" max="1428" width="14.85546875" bestFit="1" customWidth="1"/>
    <col min="1429" max="1429" width="15.7109375" bestFit="1" customWidth="1"/>
    <col min="1430" max="1430" width="10.5703125" bestFit="1" customWidth="1"/>
    <col min="1431" max="1431" width="16" bestFit="1" customWidth="1"/>
    <col min="1432" max="1432" width="12.5703125" bestFit="1" customWidth="1"/>
    <col min="1433" max="1433" width="12.7109375" bestFit="1" customWidth="1"/>
    <col min="1434" max="1434" width="15.7109375" bestFit="1" customWidth="1"/>
    <col min="1435" max="1435" width="10.5703125" bestFit="1" customWidth="1"/>
    <col min="1436" max="1436" width="14.140625" bestFit="1" customWidth="1"/>
    <col min="1437" max="1437" width="15.7109375" bestFit="1" customWidth="1"/>
    <col min="1438" max="1438" width="10.5703125" bestFit="1" customWidth="1"/>
    <col min="1439" max="1439" width="11.42578125" bestFit="1" customWidth="1"/>
    <col min="1440" max="1440" width="15.7109375" bestFit="1" customWidth="1"/>
    <col min="1441" max="1441" width="10.5703125" bestFit="1" customWidth="1"/>
    <col min="1442" max="1442" width="12.5703125" bestFit="1" customWidth="1"/>
    <col min="1443" max="1443" width="14.85546875" bestFit="1" customWidth="1"/>
    <col min="1444" max="1444" width="15.7109375" bestFit="1" customWidth="1"/>
    <col min="1445" max="1445" width="10.5703125" bestFit="1" customWidth="1"/>
    <col min="1446" max="1446" width="14.85546875" bestFit="1" customWidth="1"/>
    <col min="1447" max="1447" width="15.85546875" bestFit="1" customWidth="1"/>
    <col min="1448" max="1448" width="10.7109375" bestFit="1" customWidth="1"/>
    <col min="1449" max="1449" width="12.5703125" bestFit="1" customWidth="1"/>
    <col min="1450" max="1450" width="13.140625" bestFit="1" customWidth="1"/>
    <col min="1451" max="1451" width="15.85546875" bestFit="1" customWidth="1"/>
    <col min="1452" max="1452" width="10.7109375" bestFit="1" customWidth="1"/>
    <col min="1453" max="1453" width="16" bestFit="1" customWidth="1"/>
    <col min="1454" max="1454" width="15.85546875" bestFit="1" customWidth="1"/>
    <col min="1455" max="1455" width="10.7109375" bestFit="1" customWidth="1"/>
    <col min="1456" max="1456" width="16" bestFit="1" customWidth="1"/>
    <col min="1457" max="1457" width="15.85546875" bestFit="1" customWidth="1"/>
    <col min="1458" max="1458" width="10.7109375" bestFit="1" customWidth="1"/>
    <col min="1459" max="1459" width="14.140625" bestFit="1" customWidth="1"/>
    <col min="1460" max="1460" width="15.85546875" bestFit="1" customWidth="1"/>
    <col min="1461" max="1461" width="10.7109375" bestFit="1" customWidth="1"/>
    <col min="1462" max="1462" width="13.140625" bestFit="1" customWidth="1"/>
    <col min="1463" max="1463" width="15.85546875" bestFit="1" customWidth="1"/>
    <col min="1464" max="1464" width="10.7109375" bestFit="1" customWidth="1"/>
    <col min="1465" max="1465" width="13.140625" bestFit="1" customWidth="1"/>
    <col min="1466" max="1466" width="15.7109375" bestFit="1" customWidth="1"/>
    <col min="1467" max="1467" width="10.5703125" bestFit="1" customWidth="1"/>
    <col min="1468" max="1468" width="14.85546875" bestFit="1" customWidth="1"/>
    <col min="1469" max="1469" width="15.140625" bestFit="1" customWidth="1"/>
    <col min="1470" max="1470" width="9.5703125" bestFit="1" customWidth="1"/>
    <col min="1471" max="1471" width="13.140625" bestFit="1" customWidth="1"/>
    <col min="1472" max="1472" width="10.140625" bestFit="1" customWidth="1"/>
    <col min="1473" max="1473" width="15.140625" bestFit="1" customWidth="1"/>
    <col min="1474" max="1474" width="9.5703125" bestFit="1" customWidth="1"/>
    <col min="1475" max="1475" width="12.5703125" bestFit="1" customWidth="1"/>
    <col min="1476" max="1476" width="15.140625" bestFit="1" customWidth="1"/>
    <col min="1477" max="1477" width="9.5703125" bestFit="1" customWidth="1"/>
    <col min="1478" max="1478" width="16" bestFit="1" customWidth="1"/>
    <col min="1479" max="1479" width="15.85546875" bestFit="1" customWidth="1"/>
    <col min="1480" max="1480" width="10.28515625" bestFit="1" customWidth="1"/>
    <col min="1481" max="1481" width="14.140625" bestFit="1" customWidth="1"/>
    <col min="1482" max="1482" width="15.85546875" bestFit="1" customWidth="1"/>
    <col min="1483" max="1483" width="10.28515625" bestFit="1" customWidth="1"/>
    <col min="1484" max="1484" width="14.85546875" bestFit="1" customWidth="1"/>
    <col min="1485" max="1485" width="15.85546875" bestFit="1" customWidth="1"/>
    <col min="1486" max="1486" width="10.28515625" bestFit="1" customWidth="1"/>
    <col min="1487" max="1487" width="14.85546875" bestFit="1" customWidth="1"/>
    <col min="1488" max="1488" width="13.140625" bestFit="1" customWidth="1"/>
    <col min="1489" max="1489" width="16" bestFit="1" customWidth="1"/>
    <col min="1490" max="1490" width="10.42578125" bestFit="1" customWidth="1"/>
    <col min="1491" max="1491" width="12.5703125" bestFit="1" customWidth="1"/>
    <col min="1492" max="1492" width="16" bestFit="1" customWidth="1"/>
    <col min="1493" max="1493" width="10.42578125" bestFit="1" customWidth="1"/>
    <col min="1494" max="1494" width="14.85546875" bestFit="1" customWidth="1"/>
    <col min="1495" max="1495" width="16" bestFit="1" customWidth="1"/>
    <col min="1496" max="1496" width="10.42578125" bestFit="1" customWidth="1"/>
    <col min="1497" max="1497" width="10.7109375" bestFit="1" customWidth="1"/>
    <col min="1498" max="1498" width="15" bestFit="1" customWidth="1"/>
    <col min="1499" max="1499" width="10.140625" bestFit="1" customWidth="1"/>
    <col min="1500" max="1500" width="14.85546875" bestFit="1" customWidth="1"/>
    <col min="1501" max="1501" width="15.140625" bestFit="1" customWidth="1"/>
    <col min="1502" max="1502" width="10.28515625" bestFit="1" customWidth="1"/>
    <col min="1503" max="1503" width="16" bestFit="1" customWidth="1"/>
    <col min="1504" max="1504" width="14.140625" bestFit="1" customWidth="1"/>
    <col min="1505" max="1505" width="15.140625" bestFit="1" customWidth="1"/>
    <col min="1506" max="1506" width="10.28515625" bestFit="1" customWidth="1"/>
    <col min="1507" max="1507" width="16" bestFit="1" customWidth="1"/>
    <col min="1508" max="1508" width="15.140625" bestFit="1" customWidth="1"/>
    <col min="1509" max="1509" width="10.28515625" bestFit="1" customWidth="1"/>
    <col min="1510" max="1510" width="16" bestFit="1" customWidth="1"/>
    <col min="1511" max="1511" width="15.140625" bestFit="1" customWidth="1"/>
    <col min="1512" max="1512" width="10.28515625" bestFit="1" customWidth="1"/>
    <col min="1513" max="1513" width="11.7109375" bestFit="1" customWidth="1"/>
    <col min="1514" max="1514" width="15.85546875" bestFit="1" customWidth="1"/>
    <col min="1515" max="1515" width="11" bestFit="1" customWidth="1"/>
    <col min="1516" max="1516" width="13.140625" bestFit="1" customWidth="1"/>
    <col min="1517" max="1517" width="15.85546875" bestFit="1" customWidth="1"/>
    <col min="1518" max="1518" width="11" bestFit="1" customWidth="1"/>
    <col min="1519" max="1519" width="14.85546875" bestFit="1" customWidth="1"/>
    <col min="1520" max="1520" width="15.85546875" bestFit="1" customWidth="1"/>
    <col min="1521" max="1521" width="11" bestFit="1" customWidth="1"/>
    <col min="1522" max="1522" width="12.5703125" bestFit="1" customWidth="1"/>
    <col min="1523" max="1523" width="10.140625" bestFit="1" customWidth="1"/>
    <col min="1524" max="1524" width="15.85546875" bestFit="1" customWidth="1"/>
    <col min="1525" max="1525" width="11" bestFit="1" customWidth="1"/>
    <col min="1526" max="1526" width="16" bestFit="1" customWidth="1"/>
    <col min="1527" max="1527" width="15.85546875" bestFit="1" customWidth="1"/>
    <col min="1528" max="1528" width="11" bestFit="1" customWidth="1"/>
    <col min="1529" max="1529" width="14.140625" bestFit="1" customWidth="1"/>
    <col min="1530" max="1530" width="16" bestFit="1" customWidth="1"/>
    <col min="1531" max="1531" width="11.140625" bestFit="1" customWidth="1"/>
    <col min="1532" max="1532" width="14.85546875" bestFit="1" customWidth="1"/>
    <col min="1533" max="1533" width="12.7109375" bestFit="1" customWidth="1"/>
    <col min="1534" max="1534" width="16" bestFit="1" customWidth="1"/>
    <col min="1535" max="1535" width="11.140625" bestFit="1" customWidth="1"/>
    <col min="1536" max="1537" width="16" bestFit="1" customWidth="1"/>
    <col min="1538" max="1538" width="11.140625" bestFit="1" customWidth="1"/>
    <col min="1539" max="1539" width="13.140625" bestFit="1" customWidth="1"/>
    <col min="1540" max="1540" width="16" bestFit="1" customWidth="1"/>
    <col min="1541" max="1541" width="11.140625" bestFit="1" customWidth="1"/>
    <col min="1542" max="1542" width="14.140625" bestFit="1" customWidth="1"/>
    <col min="1543" max="1543" width="16" bestFit="1" customWidth="1"/>
    <col min="1544" max="1544" width="11.140625" bestFit="1" customWidth="1"/>
    <col min="1545" max="1545" width="12.5703125" bestFit="1" customWidth="1"/>
    <col min="1546" max="1546" width="16" bestFit="1" customWidth="1"/>
    <col min="1547" max="1547" width="11.140625" bestFit="1" customWidth="1"/>
    <col min="1548" max="1548" width="14.85546875" bestFit="1" customWidth="1"/>
    <col min="1549" max="1549" width="14.140625" bestFit="1" customWidth="1"/>
    <col min="1550" max="1550" width="16" bestFit="1" customWidth="1"/>
    <col min="1551" max="1551" width="11.140625" bestFit="1" customWidth="1"/>
    <col min="1552" max="1552" width="16" bestFit="1" customWidth="1"/>
    <col min="1553" max="1553" width="10.140625" bestFit="1" customWidth="1"/>
    <col min="1554" max="1554" width="15.85546875" bestFit="1" customWidth="1"/>
    <col min="1555" max="1555" width="11" bestFit="1" customWidth="1"/>
    <col min="1556" max="1556" width="14.85546875" bestFit="1" customWidth="1"/>
    <col min="1557" max="1557" width="15.140625" bestFit="1" customWidth="1"/>
    <col min="1558" max="1558" width="9.7109375" bestFit="1" customWidth="1"/>
    <col min="1559" max="1559" width="13.140625" bestFit="1" customWidth="1"/>
    <col min="1560" max="1560" width="15.140625" bestFit="1" customWidth="1"/>
    <col min="1561" max="1561" width="9.7109375" bestFit="1" customWidth="1"/>
    <col min="1562" max="1562" width="16" bestFit="1" customWidth="1"/>
    <col min="1563" max="1563" width="12.5703125" bestFit="1" customWidth="1"/>
    <col min="1564" max="1564" width="15.140625" bestFit="1" customWidth="1"/>
    <col min="1565" max="1565" width="9.7109375" bestFit="1" customWidth="1"/>
    <col min="1566" max="1566" width="14.85546875" bestFit="1" customWidth="1"/>
    <col min="1567" max="1567" width="15.140625" bestFit="1" customWidth="1"/>
    <col min="1568" max="1568" width="9.7109375" bestFit="1" customWidth="1"/>
    <col min="1569" max="1569" width="12.5703125" bestFit="1" customWidth="1"/>
    <col min="1570" max="1570" width="14.85546875" bestFit="1" customWidth="1"/>
    <col min="1571" max="1571" width="15.140625" bestFit="1" customWidth="1"/>
    <col min="1572" max="1572" width="9.7109375" bestFit="1" customWidth="1"/>
    <col min="1573" max="1573" width="14.140625" bestFit="1" customWidth="1"/>
    <col min="1574" max="1574" width="15.140625" bestFit="1" customWidth="1"/>
    <col min="1575" max="1575" width="9.7109375" bestFit="1" customWidth="1"/>
    <col min="1576" max="1576" width="12.5703125" bestFit="1" customWidth="1"/>
    <col min="1577" max="1577" width="14.85546875" bestFit="1" customWidth="1"/>
    <col min="1578" max="1578" width="15.140625" bestFit="1" customWidth="1"/>
    <col min="1579" max="1579" width="9.7109375" bestFit="1" customWidth="1"/>
    <col min="1580" max="1580" width="14.85546875" bestFit="1" customWidth="1"/>
    <col min="1581" max="1581" width="15.85546875" bestFit="1" customWidth="1"/>
    <col min="1582" max="1582" width="10.42578125" bestFit="1" customWidth="1"/>
    <col min="1583" max="1583" width="12.5703125" bestFit="1" customWidth="1"/>
    <col min="1584" max="1584" width="14.85546875" bestFit="1" customWidth="1"/>
    <col min="1585" max="1585" width="15.85546875" bestFit="1" customWidth="1"/>
    <col min="1586" max="1586" width="10.42578125" bestFit="1" customWidth="1"/>
    <col min="1587" max="1587" width="14.85546875" bestFit="1" customWidth="1"/>
    <col min="1588" max="1588" width="15.85546875" bestFit="1" customWidth="1"/>
    <col min="1589" max="1589" width="10.42578125" bestFit="1" customWidth="1"/>
    <col min="1590" max="1590" width="12.5703125" bestFit="1" customWidth="1"/>
    <col min="1591" max="1591" width="15.85546875" bestFit="1" customWidth="1"/>
    <col min="1592" max="1592" width="10.42578125" bestFit="1" customWidth="1"/>
    <col min="1593" max="1593" width="12.5703125" bestFit="1" customWidth="1"/>
    <col min="1594" max="1594" width="15.85546875" bestFit="1" customWidth="1"/>
    <col min="1595" max="1595" width="10.42578125" bestFit="1" customWidth="1"/>
    <col min="1596" max="1596" width="16" bestFit="1" customWidth="1"/>
    <col min="1597" max="1597" width="14.140625" bestFit="1" customWidth="1"/>
    <col min="1598" max="1598" width="15.85546875" bestFit="1" customWidth="1"/>
    <col min="1599" max="1599" width="10.42578125" bestFit="1" customWidth="1"/>
    <col min="1600" max="1600" width="12.5703125" bestFit="1" customWidth="1"/>
    <col min="1601" max="1601" width="14.140625" bestFit="1" customWidth="1"/>
    <col min="1602" max="1602" width="16" bestFit="1" customWidth="1"/>
    <col min="1603" max="1603" width="10.5703125" bestFit="1" customWidth="1"/>
    <col min="1604" max="1604" width="14.85546875" bestFit="1" customWidth="1"/>
    <col min="1605" max="1605" width="15.85546875" bestFit="1" customWidth="1"/>
    <col min="1606" max="1606" width="10.42578125" bestFit="1" customWidth="1"/>
    <col min="1607" max="1607" width="11.7109375" bestFit="1" customWidth="1"/>
    <col min="1608" max="1608" width="16" bestFit="1" customWidth="1"/>
    <col min="1609" max="1609" width="10.5703125" bestFit="1" customWidth="1"/>
    <col min="1610" max="1610" width="13.140625" bestFit="1" customWidth="1"/>
    <col min="1611" max="1611" width="16" bestFit="1" customWidth="1"/>
    <col min="1612" max="1612" width="10.5703125" bestFit="1" customWidth="1"/>
    <col min="1613" max="1613" width="16" bestFit="1" customWidth="1"/>
    <col min="1614" max="1614" width="11.7109375" bestFit="1" customWidth="1"/>
    <col min="1615" max="1615" width="16" bestFit="1" customWidth="1"/>
    <col min="1616" max="1616" width="10.5703125" bestFit="1" customWidth="1"/>
    <col min="1617" max="1617" width="12.5703125" bestFit="1" customWidth="1"/>
    <col min="1618" max="1618" width="13.140625" bestFit="1" customWidth="1"/>
    <col min="1619" max="1619" width="11.7109375" bestFit="1" customWidth="1"/>
    <col min="1620" max="1620" width="16" bestFit="1" customWidth="1"/>
    <col min="1621" max="1621" width="10.5703125" bestFit="1" customWidth="1"/>
    <col min="1622" max="1622" width="13.140625" bestFit="1" customWidth="1"/>
    <col min="1623" max="1623" width="15" bestFit="1" customWidth="1"/>
    <col min="1624" max="1624" width="10.28515625" bestFit="1" customWidth="1"/>
    <col min="1625" max="1625" width="16" bestFit="1" customWidth="1"/>
    <col min="1626" max="1626" width="14.85546875" bestFit="1" customWidth="1"/>
    <col min="1627" max="1627" width="15.140625" bestFit="1" customWidth="1"/>
    <col min="1628" max="1628" width="10.42578125" bestFit="1" customWidth="1"/>
    <col min="1629" max="1629" width="14.85546875" bestFit="1" customWidth="1"/>
    <col min="1630" max="1630" width="15.140625" bestFit="1" customWidth="1"/>
    <col min="1631" max="1631" width="10.42578125" bestFit="1" customWidth="1"/>
    <col min="1632" max="1632" width="12.5703125" bestFit="1" customWidth="1"/>
    <col min="1633" max="1633" width="15.7109375" bestFit="1" customWidth="1"/>
    <col min="1634" max="1634" width="11" bestFit="1" customWidth="1"/>
    <col min="1635" max="1635" width="12.5703125" bestFit="1" customWidth="1"/>
    <col min="1636" max="1636" width="14.85546875" bestFit="1" customWidth="1"/>
    <col min="1637" max="1637" width="12.7109375" bestFit="1" customWidth="1"/>
    <col min="1638" max="1638" width="15.85546875" bestFit="1" customWidth="1"/>
    <col min="1639" max="1639" width="11.140625" bestFit="1" customWidth="1"/>
    <col min="1640" max="1640" width="16" bestFit="1" customWidth="1"/>
    <col min="1641" max="1641" width="15.85546875" bestFit="1" customWidth="1"/>
    <col min="1642" max="1642" width="11.140625" bestFit="1" customWidth="1"/>
    <col min="1643" max="1643" width="11.5703125" bestFit="1" customWidth="1"/>
    <col min="1644" max="1644" width="15.85546875" bestFit="1" customWidth="1"/>
    <col min="1645" max="1645" width="11.140625" bestFit="1" customWidth="1"/>
    <col min="1646" max="1646" width="16" bestFit="1" customWidth="1"/>
    <col min="1647" max="1647" width="15.85546875" bestFit="1" customWidth="1"/>
    <col min="1648" max="1648" width="11.140625" bestFit="1" customWidth="1"/>
    <col min="1649" max="1649" width="14.85546875" bestFit="1" customWidth="1"/>
    <col min="1650" max="1650" width="15.85546875" bestFit="1" customWidth="1"/>
    <col min="1651" max="1651" width="11.140625" bestFit="1" customWidth="1"/>
    <col min="1652" max="1652" width="12.5703125" bestFit="1" customWidth="1"/>
    <col min="1653" max="1653" width="15.85546875" bestFit="1" customWidth="1"/>
    <col min="1654" max="1654" width="11.140625" bestFit="1" customWidth="1"/>
    <col min="1655" max="1655" width="12.5703125" bestFit="1" customWidth="1"/>
    <col min="1656" max="1656" width="14.140625" bestFit="1" customWidth="1"/>
    <col min="1657" max="1657" width="11.7109375" bestFit="1" customWidth="1"/>
    <col min="1658" max="1658" width="10.140625" bestFit="1" customWidth="1"/>
    <col min="1659" max="1659" width="16" bestFit="1" customWidth="1"/>
    <col min="1660" max="1660" width="11.28515625" bestFit="1" customWidth="1"/>
    <col min="1661" max="1661" width="14.85546875" bestFit="1" customWidth="1"/>
    <col min="1662" max="1662" width="16" bestFit="1" customWidth="1"/>
    <col min="1663" max="1663" width="11.28515625" bestFit="1" customWidth="1"/>
    <col min="1664" max="1664" width="14.85546875" bestFit="1" customWidth="1"/>
    <col min="1665" max="1665" width="14.140625" bestFit="1" customWidth="1"/>
    <col min="1666" max="1666" width="16" bestFit="1" customWidth="1"/>
    <col min="1667" max="1667" width="11.28515625" bestFit="1" customWidth="1"/>
    <col min="1668" max="1668" width="14.85546875" bestFit="1" customWidth="1"/>
    <col min="1669" max="1669" width="14.140625" bestFit="1" customWidth="1"/>
    <col min="1670" max="1670" width="16" bestFit="1" customWidth="1"/>
    <col min="1671" max="1671" width="11.28515625" bestFit="1" customWidth="1"/>
    <col min="1672" max="1673" width="16" bestFit="1" customWidth="1"/>
    <col min="1674" max="1674" width="11.28515625" bestFit="1" customWidth="1"/>
    <col min="1675" max="1676" width="16" bestFit="1" customWidth="1"/>
    <col min="1677" max="1677" width="11.28515625" bestFit="1" customWidth="1"/>
    <col min="1678" max="1678" width="12.5703125" bestFit="1" customWidth="1"/>
    <col min="1679" max="1679" width="14.85546875" bestFit="1" customWidth="1"/>
    <col min="1680" max="1680" width="10.140625" bestFit="1" customWidth="1"/>
    <col min="1681" max="1681" width="16" bestFit="1" customWidth="1"/>
    <col min="1682" max="1682" width="11.28515625" bestFit="1" customWidth="1"/>
    <col min="1683" max="1683" width="11.7109375" bestFit="1" customWidth="1"/>
    <col min="1684" max="1684" width="16" bestFit="1" customWidth="1"/>
    <col min="1685" max="1685" width="11.28515625" bestFit="1" customWidth="1"/>
    <col min="1686" max="1686" width="12.5703125" bestFit="1" customWidth="1"/>
    <col min="1687" max="1687" width="15" bestFit="1" customWidth="1"/>
    <col min="1688" max="1688" width="9.5703125" bestFit="1" customWidth="1"/>
    <col min="1689" max="1689" width="12.5703125" bestFit="1" customWidth="1"/>
    <col min="1690" max="1690" width="15.140625" bestFit="1" customWidth="1"/>
    <col min="1691" max="1691" width="9.7109375" bestFit="1" customWidth="1"/>
    <col min="1692" max="1692" width="10.85546875" bestFit="1" customWidth="1"/>
    <col min="1693" max="1693" width="15.140625" bestFit="1" customWidth="1"/>
    <col min="1694" max="1694" width="9.7109375" bestFit="1" customWidth="1"/>
    <col min="1695" max="1695" width="14.140625" bestFit="1" customWidth="1"/>
    <col min="1696" max="1696" width="15.140625" bestFit="1" customWidth="1"/>
    <col min="1697" max="1697" width="9.7109375" bestFit="1" customWidth="1"/>
    <col min="1698" max="1698" width="14.85546875" bestFit="1" customWidth="1"/>
    <col min="1699" max="1699" width="14.140625" bestFit="1" customWidth="1"/>
    <col min="1700" max="1700" width="15.140625" bestFit="1" customWidth="1"/>
    <col min="1701" max="1701" width="9.7109375" bestFit="1" customWidth="1"/>
    <col min="1702" max="1702" width="11.7109375" bestFit="1" customWidth="1"/>
    <col min="1703" max="1703" width="15.140625" bestFit="1" customWidth="1"/>
    <col min="1704" max="1704" width="9.7109375" bestFit="1" customWidth="1"/>
    <col min="1705" max="1705" width="14.140625" bestFit="1" customWidth="1"/>
    <col min="1706" max="1706" width="15.140625" bestFit="1" customWidth="1"/>
    <col min="1707" max="1707" width="9.7109375" bestFit="1" customWidth="1"/>
    <col min="1708" max="1708" width="11.7109375" bestFit="1" customWidth="1"/>
    <col min="1709" max="1709" width="15.7109375" bestFit="1" customWidth="1"/>
    <col min="1710" max="1710" width="10.28515625" bestFit="1" customWidth="1"/>
    <col min="1711" max="1711" width="16" bestFit="1" customWidth="1"/>
    <col min="1712" max="1712" width="11.7109375" bestFit="1" customWidth="1"/>
    <col min="1713" max="1713" width="15.85546875" bestFit="1" customWidth="1"/>
    <col min="1714" max="1714" width="10.42578125" bestFit="1" customWidth="1"/>
    <col min="1715" max="1716" width="14.85546875" bestFit="1" customWidth="1"/>
    <col min="1717" max="1717" width="14.140625" bestFit="1" customWidth="1"/>
    <col min="1718" max="1718" width="15.85546875" bestFit="1" customWidth="1"/>
    <col min="1719" max="1719" width="10.42578125" bestFit="1" customWidth="1"/>
    <col min="1720" max="1720" width="14.85546875" bestFit="1" customWidth="1"/>
    <col min="1721" max="1721" width="16" bestFit="1" customWidth="1"/>
    <col min="1722" max="1722" width="10.5703125" bestFit="1" customWidth="1"/>
    <col min="1723" max="1723" width="12.5703125" bestFit="1" customWidth="1"/>
    <col min="1724" max="1724" width="11.7109375" bestFit="1" customWidth="1"/>
    <col min="1725" max="1725" width="16" bestFit="1" customWidth="1"/>
    <col min="1726" max="1726" width="10.5703125" bestFit="1" customWidth="1"/>
    <col min="1727" max="1727" width="12.5703125" bestFit="1" customWidth="1"/>
    <col min="1728" max="1728" width="16" bestFit="1" customWidth="1"/>
    <col min="1729" max="1729" width="10.5703125" bestFit="1" customWidth="1"/>
    <col min="1730" max="1730" width="12.5703125" bestFit="1" customWidth="1"/>
    <col min="1731" max="1731" width="16" bestFit="1" customWidth="1"/>
    <col min="1732" max="1732" width="10.5703125" bestFit="1" customWidth="1"/>
    <col min="1733" max="1733" width="11.7109375" bestFit="1" customWidth="1"/>
    <col min="1734" max="1734" width="16" bestFit="1" customWidth="1"/>
    <col min="1735" max="1735" width="10.5703125" bestFit="1" customWidth="1"/>
    <col min="1736" max="1736" width="11.7109375" bestFit="1" customWidth="1"/>
    <col min="1737" max="1737" width="16" bestFit="1" customWidth="1"/>
    <col min="1738" max="1738" width="10.5703125" bestFit="1" customWidth="1"/>
    <col min="1739" max="1740" width="14.85546875" bestFit="1" customWidth="1"/>
    <col min="1741" max="1741" width="10.140625" bestFit="1" customWidth="1"/>
    <col min="1742" max="1742" width="15.140625" bestFit="1" customWidth="1"/>
    <col min="1743" max="1743" width="9.28515625" bestFit="1" customWidth="1"/>
    <col min="1744" max="1744" width="12.5703125" bestFit="1" customWidth="1"/>
    <col min="1745" max="1745" width="14.140625" bestFit="1" customWidth="1"/>
    <col min="1746" max="1746" width="15.140625" bestFit="1" customWidth="1"/>
    <col min="1747" max="1747" width="9.28515625" bestFit="1" customWidth="1"/>
    <col min="1748" max="1748" width="16" bestFit="1" customWidth="1"/>
    <col min="1749" max="1749" width="15.85546875" bestFit="1" customWidth="1"/>
    <col min="1750" max="1750" width="10" bestFit="1" customWidth="1"/>
    <col min="1751" max="1751" width="14.140625" bestFit="1" customWidth="1"/>
    <col min="1752" max="1752" width="15.85546875" bestFit="1" customWidth="1"/>
    <col min="1753" max="1753" width="10" bestFit="1" customWidth="1"/>
    <col min="1754" max="1754" width="16" bestFit="1" customWidth="1"/>
    <col min="1755" max="1755" width="10.140625" bestFit="1" customWidth="1"/>
    <col min="1756" max="1756" width="15.85546875" bestFit="1" customWidth="1"/>
    <col min="1757" max="1757" width="10" bestFit="1" customWidth="1"/>
    <col min="1758" max="1758" width="16" bestFit="1" customWidth="1"/>
    <col min="1759" max="1759" width="10.140625" bestFit="1" customWidth="1"/>
    <col min="1760" max="1760" width="15.85546875" bestFit="1" customWidth="1"/>
    <col min="1761" max="1761" width="10" bestFit="1" customWidth="1"/>
    <col min="1762" max="1762" width="14.85546875" bestFit="1" customWidth="1"/>
    <col min="1763" max="1763" width="15.85546875" bestFit="1" customWidth="1"/>
    <col min="1764" max="1764" width="10" bestFit="1" customWidth="1"/>
    <col min="1765" max="1765" width="14.85546875" bestFit="1" customWidth="1"/>
    <col min="1766" max="1766" width="15.85546875" bestFit="1" customWidth="1"/>
    <col min="1767" max="1767" width="10" bestFit="1" customWidth="1"/>
    <col min="1768" max="1768" width="11.5703125" bestFit="1" customWidth="1"/>
    <col min="1769" max="1769" width="15.85546875" bestFit="1" customWidth="1"/>
    <col min="1770" max="1770" width="10" bestFit="1" customWidth="1"/>
    <col min="1771" max="1771" width="12.5703125" bestFit="1" customWidth="1"/>
    <col min="1772" max="1772" width="16" bestFit="1" customWidth="1"/>
    <col min="1773" max="1773" width="10.140625" bestFit="1" customWidth="1"/>
    <col min="1774" max="1774" width="14.140625" bestFit="1" customWidth="1"/>
    <col min="1775" max="1775" width="11.7109375" bestFit="1" customWidth="1"/>
    <col min="1776" max="1776" width="15.85546875" bestFit="1" customWidth="1"/>
    <col min="1777" max="1777" width="10" bestFit="1" customWidth="1"/>
    <col min="1778" max="1778" width="12.5703125" bestFit="1" customWidth="1"/>
    <col min="1779" max="1779" width="12.7109375" bestFit="1" customWidth="1"/>
    <col min="1780" max="1780" width="16" bestFit="1" customWidth="1"/>
    <col min="1781" max="1781" width="10.140625" bestFit="1" customWidth="1"/>
    <col min="1782" max="1782" width="11.7109375" bestFit="1" customWidth="1"/>
    <col min="1783" max="1783" width="16" bestFit="1" customWidth="1"/>
    <col min="1784" max="1784" width="10.140625" bestFit="1" customWidth="1"/>
    <col min="1785" max="1785" width="14.85546875" bestFit="1" customWidth="1"/>
    <col min="1786" max="1786" width="16" bestFit="1" customWidth="1"/>
    <col min="1787" max="1787" width="10.140625" bestFit="1" customWidth="1"/>
    <col min="1788" max="1788" width="13.140625" bestFit="1" customWidth="1"/>
    <col min="1789" max="1789" width="16" bestFit="1" customWidth="1"/>
    <col min="1790" max="1790" width="10.140625" bestFit="1" customWidth="1"/>
    <col min="1791" max="1791" width="16" bestFit="1" customWidth="1"/>
    <col min="1792" max="1792" width="14.85546875" bestFit="1" customWidth="1"/>
    <col min="1793" max="1793" width="15.85546875" bestFit="1" customWidth="1"/>
    <col min="1794" max="1794" width="10" bestFit="1" customWidth="1"/>
    <col min="1795" max="1796" width="14.85546875" bestFit="1" customWidth="1"/>
    <col min="1797" max="1797" width="13.140625" bestFit="1" customWidth="1"/>
    <col min="1798" max="1798" width="15.140625" bestFit="1" customWidth="1"/>
    <col min="1799" max="1799" width="10" bestFit="1" customWidth="1"/>
    <col min="1800" max="1800" width="12.5703125" bestFit="1" customWidth="1"/>
    <col min="1801" max="1801" width="15.140625" bestFit="1" customWidth="1"/>
    <col min="1802" max="1802" width="10" bestFit="1" customWidth="1"/>
    <col min="1803" max="1803" width="12.5703125" bestFit="1" customWidth="1"/>
    <col min="1804" max="1804" width="15.140625" bestFit="1" customWidth="1"/>
    <col min="1805" max="1805" width="10" bestFit="1" customWidth="1"/>
    <col min="1806" max="1806" width="13.140625" bestFit="1" customWidth="1"/>
    <col min="1807" max="1807" width="15.140625" bestFit="1" customWidth="1"/>
    <col min="1808" max="1808" width="10" bestFit="1" customWidth="1"/>
    <col min="1809" max="1809" width="12.5703125" bestFit="1" customWidth="1"/>
    <col min="1810" max="1810" width="15.140625" bestFit="1" customWidth="1"/>
    <col min="1811" max="1811" width="10" bestFit="1" customWidth="1"/>
    <col min="1812" max="1812" width="12.5703125" bestFit="1" customWidth="1"/>
    <col min="1813" max="1813" width="15.85546875" bestFit="1" customWidth="1"/>
    <col min="1814" max="1814" width="10.7109375" bestFit="1" customWidth="1"/>
    <col min="1815" max="1815" width="14.85546875" bestFit="1" customWidth="1"/>
    <col min="1816" max="1816" width="13.140625" bestFit="1" customWidth="1"/>
    <col min="1817" max="1817" width="15.85546875" bestFit="1" customWidth="1"/>
    <col min="1818" max="1818" width="10.7109375" bestFit="1" customWidth="1"/>
    <col min="1819" max="1819" width="12.5703125" bestFit="1" customWidth="1"/>
    <col min="1820" max="1820" width="15.85546875" bestFit="1" customWidth="1"/>
    <col min="1821" max="1821" width="10.7109375" bestFit="1" customWidth="1"/>
    <col min="1822" max="1822" width="14.85546875" bestFit="1" customWidth="1"/>
    <col min="1823" max="1823" width="15.85546875" bestFit="1" customWidth="1"/>
    <col min="1824" max="1824" width="10.7109375" bestFit="1" customWidth="1"/>
    <col min="1825" max="1825" width="12.5703125" bestFit="1" customWidth="1"/>
    <col min="1826" max="1826" width="14.85546875" bestFit="1" customWidth="1"/>
    <col min="1827" max="1827" width="14.140625" bestFit="1" customWidth="1"/>
    <col min="1828" max="1828" width="15.85546875" bestFit="1" customWidth="1"/>
    <col min="1829" max="1829" width="10.7109375" bestFit="1" customWidth="1"/>
    <col min="1830" max="1830" width="16" bestFit="1" customWidth="1"/>
    <col min="1831" max="1831" width="15.85546875" bestFit="1" customWidth="1"/>
    <col min="1832" max="1832" width="10.7109375" bestFit="1" customWidth="1"/>
    <col min="1833" max="1833" width="14.85546875" bestFit="1" customWidth="1"/>
    <col min="1834" max="1834" width="11.7109375" bestFit="1" customWidth="1"/>
    <col min="1835" max="1835" width="16" bestFit="1" customWidth="1"/>
    <col min="1836" max="1836" width="10.85546875" bestFit="1" customWidth="1"/>
    <col min="1837" max="1837" width="16" bestFit="1" customWidth="1"/>
    <col min="1838" max="1838" width="14.85546875" bestFit="1" customWidth="1"/>
    <col min="1839" max="1839" width="16" bestFit="1" customWidth="1"/>
    <col min="1840" max="1840" width="10.85546875" bestFit="1" customWidth="1"/>
    <col min="1841" max="1842" width="14.85546875" bestFit="1" customWidth="1"/>
    <col min="1843" max="1843" width="16" bestFit="1" customWidth="1"/>
    <col min="1844" max="1844" width="10.85546875" bestFit="1" customWidth="1"/>
    <col min="1845" max="1845" width="14.140625" bestFit="1" customWidth="1"/>
    <col min="1846" max="1846" width="16" bestFit="1" customWidth="1"/>
    <col min="1847" max="1847" width="10.85546875" bestFit="1" customWidth="1"/>
    <col min="1848" max="1848" width="12.5703125" bestFit="1" customWidth="1"/>
    <col min="1849" max="1849" width="12.7109375" bestFit="1" customWidth="1"/>
    <col min="1850" max="1850" width="16" bestFit="1" customWidth="1"/>
    <col min="1851" max="1851" width="10.85546875" bestFit="1" customWidth="1"/>
    <col min="1852" max="1852" width="14.85546875" bestFit="1" customWidth="1"/>
    <col min="1853" max="1853" width="15" bestFit="1" customWidth="1"/>
    <col min="1854" max="1854" width="9.5703125" bestFit="1" customWidth="1"/>
    <col min="1855" max="1855" width="12.5703125" bestFit="1" customWidth="1"/>
    <col min="1856" max="1856" width="14.85546875" bestFit="1" customWidth="1"/>
    <col min="1857" max="1857" width="15.140625" bestFit="1" customWidth="1"/>
    <col min="1858" max="1858" width="9.7109375" bestFit="1" customWidth="1"/>
    <col min="1859" max="1859" width="12.7109375" bestFit="1" customWidth="1"/>
    <col min="1860" max="1860" width="15.140625" bestFit="1" customWidth="1"/>
    <col min="1861" max="1861" width="9.7109375" bestFit="1" customWidth="1"/>
    <col min="1862" max="1862" width="16" bestFit="1" customWidth="1"/>
    <col min="1863" max="1863" width="10.140625" bestFit="1" customWidth="1"/>
    <col min="1864" max="1864" width="15.140625" bestFit="1" customWidth="1"/>
    <col min="1865" max="1865" width="9.7109375" bestFit="1" customWidth="1"/>
    <col min="1866" max="1866" width="12.5703125" bestFit="1" customWidth="1"/>
    <col min="1867" max="1867" width="15.140625" bestFit="1" customWidth="1"/>
    <col min="1868" max="1868" width="9.7109375" bestFit="1" customWidth="1"/>
    <col min="1869" max="1869" width="16" bestFit="1" customWidth="1"/>
    <col min="1870" max="1870" width="14.85546875" bestFit="1" customWidth="1"/>
    <col min="1871" max="1871" width="15.140625" bestFit="1" customWidth="1"/>
    <col min="1872" max="1872" width="9.7109375" bestFit="1" customWidth="1"/>
    <col min="1873" max="1873" width="14.85546875" bestFit="1" customWidth="1"/>
    <col min="1874" max="1874" width="15.85546875" bestFit="1" customWidth="1"/>
    <col min="1875" max="1875" width="10.42578125" bestFit="1" customWidth="1"/>
    <col min="1876" max="1876" width="16" bestFit="1" customWidth="1"/>
    <col min="1877" max="1877" width="15.85546875" bestFit="1" customWidth="1"/>
    <col min="1878" max="1878" width="10.42578125" bestFit="1" customWidth="1"/>
    <col min="1879" max="1879" width="12.5703125" bestFit="1" customWidth="1"/>
    <col min="1880" max="1880" width="15.85546875" bestFit="1" customWidth="1"/>
    <col min="1881" max="1881" width="10.42578125" bestFit="1" customWidth="1"/>
    <col min="1882" max="1882" width="14.140625" bestFit="1" customWidth="1"/>
    <col min="1883" max="1883" width="15.85546875" bestFit="1" customWidth="1"/>
    <col min="1884" max="1884" width="10.42578125" bestFit="1" customWidth="1"/>
    <col min="1885" max="1885" width="12.5703125" bestFit="1" customWidth="1"/>
    <col min="1886" max="1886" width="15.85546875" bestFit="1" customWidth="1"/>
    <col min="1887" max="1887" width="10.42578125" bestFit="1" customWidth="1"/>
    <col min="1888" max="1888" width="14.85546875" bestFit="1" customWidth="1"/>
    <col min="1889" max="1889" width="15.85546875" bestFit="1" customWidth="1"/>
    <col min="1890" max="1890" width="10.42578125" bestFit="1" customWidth="1"/>
    <col min="1891" max="1891" width="14.140625" bestFit="1" customWidth="1"/>
    <col min="1892" max="1892" width="16" bestFit="1" customWidth="1"/>
    <col min="1893" max="1893" width="10.5703125" bestFit="1" customWidth="1"/>
    <col min="1894" max="1894" width="13.140625" bestFit="1" customWidth="1"/>
    <col min="1895" max="1895" width="15.85546875" bestFit="1" customWidth="1"/>
    <col min="1896" max="1896" width="10.42578125" bestFit="1" customWidth="1"/>
    <col min="1897" max="1897" width="12.5703125" bestFit="1" customWidth="1"/>
    <col min="1898" max="1898" width="16" bestFit="1" customWidth="1"/>
    <col min="1899" max="1899" width="10.5703125" bestFit="1" customWidth="1"/>
    <col min="1900" max="1900" width="13.140625" bestFit="1" customWidth="1"/>
    <col min="1901" max="1901" width="16" bestFit="1" customWidth="1"/>
    <col min="1902" max="1902" width="10.5703125" bestFit="1" customWidth="1"/>
    <col min="1903" max="1903" width="14.85546875" bestFit="1" customWidth="1"/>
    <col min="1904" max="1904" width="16" bestFit="1" customWidth="1"/>
    <col min="1905" max="1905" width="10.5703125" bestFit="1" customWidth="1"/>
    <col min="1906" max="1906" width="13.140625" bestFit="1" customWidth="1"/>
    <col min="1907" max="1907" width="12.7109375" bestFit="1" customWidth="1"/>
    <col min="1908" max="1908" width="16" bestFit="1" customWidth="1"/>
    <col min="1909" max="1909" width="10.5703125" bestFit="1" customWidth="1"/>
    <col min="1910" max="1910" width="11.7109375" bestFit="1" customWidth="1"/>
    <col min="1911" max="1911" width="16" bestFit="1" customWidth="1"/>
    <col min="1912" max="1912" width="10.5703125" bestFit="1" customWidth="1"/>
    <col min="1913" max="1913" width="14.140625" bestFit="1" customWidth="1"/>
    <col min="1914" max="1914" width="16" bestFit="1" customWidth="1"/>
    <col min="1915" max="1915" width="10.5703125" bestFit="1" customWidth="1"/>
    <col min="1916" max="1916" width="14.85546875" bestFit="1" customWidth="1"/>
    <col min="1917" max="1917" width="16" bestFit="1" customWidth="1"/>
    <col min="1918" max="1918" width="10.5703125" bestFit="1" customWidth="1"/>
    <col min="1919" max="1919" width="12.5703125" bestFit="1" customWidth="1"/>
    <col min="1920" max="1920" width="16" bestFit="1" customWidth="1"/>
    <col min="1921" max="1921" width="10.5703125" bestFit="1" customWidth="1"/>
    <col min="1922" max="1922" width="12.5703125" bestFit="1" customWidth="1"/>
    <col min="1923" max="1923" width="14.85546875" bestFit="1" customWidth="1"/>
    <col min="1924" max="1924" width="9.42578125" bestFit="1" customWidth="1"/>
    <col min="1925" max="1925" width="16" bestFit="1" customWidth="1"/>
    <col min="1926" max="1926" width="15" bestFit="1" customWidth="1"/>
    <col min="1927" max="1927" width="9.5703125" bestFit="1" customWidth="1"/>
    <col min="1928" max="1928" width="16" bestFit="1" customWidth="1"/>
    <col min="1929" max="1929" width="13.140625" bestFit="1" customWidth="1"/>
    <col min="1930" max="1930" width="11.7109375" bestFit="1" customWidth="1"/>
    <col min="1931" max="1931" width="10.140625" bestFit="1" customWidth="1"/>
    <col min="1932" max="1932" width="15" bestFit="1" customWidth="1"/>
    <col min="1933" max="1933" width="9.5703125" bestFit="1" customWidth="1"/>
    <col min="1934" max="1934" width="16" bestFit="1" customWidth="1"/>
    <col min="1935" max="1935" width="15" bestFit="1" customWidth="1"/>
    <col min="1936" max="1936" width="9.5703125" bestFit="1" customWidth="1"/>
    <col min="1937" max="1937" width="13.140625" bestFit="1" customWidth="1"/>
    <col min="1938" max="1938" width="10.140625" bestFit="1" customWidth="1"/>
    <col min="1939" max="1939" width="15.7109375" bestFit="1" customWidth="1"/>
    <col min="1940" max="1940" width="10.28515625" bestFit="1" customWidth="1"/>
    <col min="1941" max="1941" width="14.85546875" bestFit="1" customWidth="1"/>
    <col min="1942" max="1942" width="15.7109375" bestFit="1" customWidth="1"/>
    <col min="1943" max="1943" width="10.28515625" bestFit="1" customWidth="1"/>
    <col min="1944" max="1944" width="14.140625" bestFit="1" customWidth="1"/>
    <col min="1945" max="1945" width="15.7109375" bestFit="1" customWidth="1"/>
    <col min="1946" max="1946" width="10.28515625" bestFit="1" customWidth="1"/>
    <col min="1947" max="1947" width="12.5703125" bestFit="1" customWidth="1"/>
    <col min="1948" max="1948" width="15.7109375" bestFit="1" customWidth="1"/>
    <col min="1949" max="1949" width="10.28515625" bestFit="1" customWidth="1"/>
    <col min="1950" max="1950" width="14.140625" bestFit="1" customWidth="1"/>
    <col min="1951" max="1951" width="15.7109375" bestFit="1" customWidth="1"/>
    <col min="1952" max="1952" width="10.28515625" bestFit="1" customWidth="1"/>
    <col min="1953" max="1953" width="12.5703125" bestFit="1" customWidth="1"/>
    <col min="1954" max="1954" width="15.7109375" bestFit="1" customWidth="1"/>
    <col min="1955" max="1955" width="10.28515625" bestFit="1" customWidth="1"/>
    <col min="1956" max="1956" width="11.7109375" bestFit="1" customWidth="1"/>
    <col min="1957" max="1957" width="15.7109375" bestFit="1" customWidth="1"/>
    <col min="1958" max="1958" width="10.28515625" bestFit="1" customWidth="1"/>
    <col min="1959" max="1959" width="14.85546875" bestFit="1" customWidth="1"/>
    <col min="1960" max="1960" width="15.7109375" bestFit="1" customWidth="1"/>
    <col min="1961" max="1961" width="10.28515625" bestFit="1" customWidth="1"/>
    <col min="1962" max="1962" width="11.7109375" bestFit="1" customWidth="1"/>
    <col min="1963" max="1963" width="15.85546875" bestFit="1" customWidth="1"/>
    <col min="1964" max="1964" width="10.42578125" bestFit="1" customWidth="1"/>
    <col min="1965" max="1965" width="16" bestFit="1" customWidth="1"/>
    <col min="1966" max="1966" width="12.5703125" bestFit="1" customWidth="1"/>
    <col min="1967" max="1967" width="14.85546875" bestFit="1" customWidth="1"/>
    <col min="1968" max="1968" width="15.7109375" bestFit="1" customWidth="1"/>
    <col min="1969" max="1969" width="10.28515625" bestFit="1" customWidth="1"/>
    <col min="1970" max="1970" width="14.85546875" bestFit="1" customWidth="1"/>
    <col min="1971" max="1971" width="15.85546875" bestFit="1" customWidth="1"/>
    <col min="1972" max="1972" width="10.42578125" bestFit="1" customWidth="1"/>
    <col min="1973" max="1973" width="14.85546875" bestFit="1" customWidth="1"/>
    <col min="1974" max="1974" width="13.140625" bestFit="1" customWidth="1"/>
    <col min="1975" max="1975" width="15.85546875" bestFit="1" customWidth="1"/>
    <col min="1976" max="1976" width="10.42578125" bestFit="1" customWidth="1"/>
    <col min="1977" max="1977" width="13.140625" bestFit="1" customWidth="1"/>
    <col min="1978" max="1978" width="14.7109375" bestFit="1" customWidth="1"/>
    <col min="1979" max="1979" width="9.85546875" bestFit="1" customWidth="1"/>
    <col min="1980" max="1980" width="13.140625" bestFit="1" customWidth="1"/>
    <col min="1981" max="1981" width="14.85546875" bestFit="1" customWidth="1"/>
    <col min="1982" max="1982" width="10" bestFit="1" customWidth="1"/>
    <col min="1983" max="1983" width="14.140625" bestFit="1" customWidth="1"/>
    <col min="1984" max="1984" width="14.85546875" bestFit="1" customWidth="1"/>
    <col min="1985" max="1985" width="10" bestFit="1" customWidth="1"/>
    <col min="1986" max="1986" width="14.140625" bestFit="1" customWidth="1"/>
    <col min="1987" max="1987" width="14.85546875" bestFit="1" customWidth="1"/>
    <col min="1988" max="1988" width="10" bestFit="1" customWidth="1"/>
    <col min="1989" max="1989" width="10.5703125" bestFit="1" customWidth="1"/>
    <col min="1990" max="1990" width="14.85546875" bestFit="1" customWidth="1"/>
    <col min="1991" max="1991" width="10" bestFit="1" customWidth="1"/>
    <col min="1992" max="1993" width="14.85546875" bestFit="1" customWidth="1"/>
    <col min="1994" max="1994" width="10" bestFit="1" customWidth="1"/>
    <col min="1995" max="1995" width="16" bestFit="1" customWidth="1"/>
    <col min="1996" max="1996" width="12.7109375" bestFit="1" customWidth="1"/>
    <col min="1997" max="1997" width="14.85546875" bestFit="1" customWidth="1"/>
    <col min="1998" max="1998" width="10" bestFit="1" customWidth="1"/>
    <col min="1999" max="1999" width="16" bestFit="1" customWidth="1"/>
    <col min="2000" max="2000" width="14.85546875" bestFit="1" customWidth="1"/>
    <col min="2001" max="2001" width="10" bestFit="1" customWidth="1"/>
    <col min="2002" max="2002" width="12.7109375" bestFit="1" customWidth="1"/>
    <col min="2003" max="2003" width="15.42578125" bestFit="1" customWidth="1"/>
    <col min="2004" max="2004" width="10.5703125" bestFit="1" customWidth="1"/>
    <col min="2005" max="2005" width="12.7109375" bestFit="1" customWidth="1"/>
    <col min="2006" max="2006" width="15.5703125" bestFit="1" customWidth="1"/>
    <col min="2007" max="2007" width="10.7109375" bestFit="1" customWidth="1"/>
    <col min="2008" max="2008" width="12.5703125" bestFit="1" customWidth="1"/>
    <col min="2009" max="2009" width="10.140625" bestFit="1" customWidth="1"/>
    <col min="2010" max="2010" width="15.5703125" bestFit="1" customWidth="1"/>
    <col min="2011" max="2011" width="10.7109375" bestFit="1" customWidth="1"/>
    <col min="2012" max="2012" width="16" bestFit="1" customWidth="1"/>
    <col min="2013" max="2013" width="14.85546875" bestFit="1" customWidth="1"/>
    <col min="2014" max="2014" width="15.5703125" bestFit="1" customWidth="1"/>
    <col min="2015" max="2015" width="10.7109375" bestFit="1" customWidth="1"/>
    <col min="2016" max="2016" width="16" bestFit="1" customWidth="1"/>
    <col min="2017" max="2017" width="15.5703125" bestFit="1" customWidth="1"/>
    <col min="2018" max="2018" width="10.7109375" bestFit="1" customWidth="1"/>
    <col min="2019" max="2019" width="16" bestFit="1" customWidth="1"/>
    <col min="2020" max="2020" width="14.140625" bestFit="1" customWidth="1"/>
    <col min="2021" max="2021" width="15.5703125" bestFit="1" customWidth="1"/>
    <col min="2022" max="2022" width="10.7109375" bestFit="1" customWidth="1"/>
    <col min="2023" max="2023" width="14.85546875" bestFit="1" customWidth="1"/>
    <col min="2024" max="2024" width="13.140625" bestFit="1" customWidth="1"/>
    <col min="2025" max="2025" width="15.7109375" bestFit="1" customWidth="1"/>
    <col min="2026" max="2026" width="10.85546875" bestFit="1" customWidth="1"/>
    <col min="2027" max="2027" width="14.85546875" bestFit="1" customWidth="1"/>
    <col min="2028" max="2028" width="14.140625" bestFit="1" customWidth="1"/>
    <col min="2029" max="2029" width="15.7109375" bestFit="1" customWidth="1"/>
    <col min="2030" max="2030" width="10.85546875" bestFit="1" customWidth="1"/>
    <col min="2031" max="2031" width="14.85546875" bestFit="1" customWidth="1"/>
    <col min="2032" max="2032" width="15.7109375" bestFit="1" customWidth="1"/>
    <col min="2033" max="2033" width="10.85546875" bestFit="1" customWidth="1"/>
    <col min="2034" max="2034" width="12.5703125" bestFit="1" customWidth="1"/>
    <col min="2035" max="2035" width="15.7109375" bestFit="1" customWidth="1"/>
    <col min="2036" max="2036" width="10.85546875" bestFit="1" customWidth="1"/>
    <col min="2037" max="2037" width="12.5703125" bestFit="1" customWidth="1"/>
    <col min="2038" max="2038" width="10.140625" bestFit="1" customWidth="1"/>
    <col min="2039" max="2039" width="15.7109375" bestFit="1" customWidth="1"/>
    <col min="2040" max="2040" width="10.85546875" bestFit="1" customWidth="1"/>
    <col min="2041" max="2041" width="14.85546875" bestFit="1" customWidth="1"/>
    <col min="2042" max="2042" width="11.7109375" bestFit="1" customWidth="1"/>
    <col min="2043" max="2043" width="15" bestFit="1" customWidth="1"/>
    <col min="2044" max="2044" width="9.5703125" bestFit="1" customWidth="1"/>
    <col min="2045" max="2045" width="12.5703125" bestFit="1" customWidth="1"/>
    <col min="2046" max="2046" width="13.140625" bestFit="1" customWidth="1"/>
    <col min="2047" max="2047" width="15" bestFit="1" customWidth="1"/>
    <col min="2048" max="2048" width="9.5703125" bestFit="1" customWidth="1"/>
    <col min="2049" max="2049" width="14.140625" bestFit="1" customWidth="1"/>
    <col min="2050" max="2050" width="11.7109375" bestFit="1" customWidth="1"/>
    <col min="2051" max="2051" width="15" bestFit="1" customWidth="1"/>
    <col min="2052" max="2052" width="9.5703125" bestFit="1" customWidth="1"/>
    <col min="2053" max="2053" width="14.85546875" bestFit="1" customWidth="1"/>
    <col min="2054" max="2054" width="14.140625" bestFit="1" customWidth="1"/>
    <col min="2055" max="2055" width="15" bestFit="1" customWidth="1"/>
    <col min="2056" max="2056" width="9.5703125" bestFit="1" customWidth="1"/>
    <col min="2057" max="2057" width="14.85546875" bestFit="1" customWidth="1"/>
    <col min="2058" max="2058" width="15" bestFit="1" customWidth="1"/>
    <col min="2059" max="2059" width="9.5703125" bestFit="1" customWidth="1"/>
    <col min="2060" max="2060" width="12.5703125" bestFit="1" customWidth="1"/>
    <col min="2061" max="2061" width="15" bestFit="1" customWidth="1"/>
    <col min="2062" max="2062" width="9.5703125" bestFit="1" customWidth="1"/>
    <col min="2063" max="2063" width="14.85546875" bestFit="1" customWidth="1"/>
    <col min="2064" max="2064" width="13.140625" bestFit="1" customWidth="1"/>
    <col min="2065" max="2065" width="15.7109375" bestFit="1" customWidth="1"/>
    <col min="2066" max="2066" width="10.28515625" bestFit="1" customWidth="1"/>
    <col min="2067" max="2067" width="11.28515625" bestFit="1" customWidth="1"/>
    <col min="2068" max="2068" width="15.5703125" bestFit="1" customWidth="1"/>
    <col min="2069" max="2069" width="10.140625" bestFit="1" customWidth="1"/>
    <col min="2070" max="2070" width="14.85546875" bestFit="1" customWidth="1"/>
    <col min="2071" max="2071" width="13.140625" bestFit="1" customWidth="1"/>
    <col min="2072" max="2072" width="11.7109375" bestFit="1" customWidth="1"/>
    <col min="2073" max="2073" width="15.7109375" bestFit="1" customWidth="1"/>
    <col min="2074" max="2074" width="10.28515625" bestFit="1" customWidth="1"/>
    <col min="2075" max="2075" width="14.140625" bestFit="1" customWidth="1"/>
    <col min="2076" max="2076" width="15.7109375" bestFit="1" customWidth="1"/>
    <col min="2077" max="2077" width="10.28515625" bestFit="1" customWidth="1"/>
    <col min="2078" max="2078" width="14.85546875" bestFit="1" customWidth="1"/>
    <col min="2079" max="2079" width="15.7109375" bestFit="1" customWidth="1"/>
    <col min="2080" max="2080" width="10.28515625" bestFit="1" customWidth="1"/>
    <col min="2081" max="2081" width="11.42578125" bestFit="1" customWidth="1"/>
    <col min="2082" max="2082" width="15.7109375" bestFit="1" customWidth="1"/>
    <col min="2083" max="2083" width="10.28515625" bestFit="1" customWidth="1"/>
    <col min="2084" max="2084" width="16" bestFit="1" customWidth="1"/>
    <col min="2085" max="2085" width="15.7109375" bestFit="1" customWidth="1"/>
    <col min="2086" max="2086" width="10.28515625" bestFit="1" customWidth="1"/>
    <col min="2087" max="2087" width="14.85546875" bestFit="1" customWidth="1"/>
    <col min="2088" max="2088" width="15.85546875" bestFit="1" customWidth="1"/>
    <col min="2089" max="2089" width="10.42578125" bestFit="1" customWidth="1"/>
    <col min="2090" max="2090" width="14.85546875" bestFit="1" customWidth="1"/>
    <col min="2091" max="2091" width="15.7109375" bestFit="1" customWidth="1"/>
    <col min="2092" max="2092" width="10.28515625" bestFit="1" customWidth="1"/>
    <col min="2093" max="2093" width="16" bestFit="1" customWidth="1"/>
    <col min="2094" max="2094" width="14.85546875" bestFit="1" customWidth="1"/>
    <col min="2095" max="2095" width="15.85546875" bestFit="1" customWidth="1"/>
    <col min="2096" max="2096" width="10.42578125" bestFit="1" customWidth="1"/>
    <col min="2097" max="2097" width="12.5703125" bestFit="1" customWidth="1"/>
    <col min="2098" max="2098" width="15.85546875" bestFit="1" customWidth="1"/>
    <col min="2099" max="2099" width="10.42578125" bestFit="1" customWidth="1"/>
    <col min="2100" max="2100" width="12.5703125" bestFit="1" customWidth="1"/>
    <col min="2101" max="2101" width="14.85546875" bestFit="1" customWidth="1"/>
    <col min="2102" max="2102" width="15.85546875" bestFit="1" customWidth="1"/>
    <col min="2103" max="2103" width="10.42578125" bestFit="1" customWidth="1"/>
    <col min="2104" max="2104" width="16" bestFit="1" customWidth="1"/>
    <col min="2105" max="2105" width="12.5703125" bestFit="1" customWidth="1"/>
    <col min="2106" max="2106" width="15.85546875" bestFit="1" customWidth="1"/>
    <col min="2107" max="2107" width="10.42578125" bestFit="1" customWidth="1"/>
    <col min="2108" max="2108" width="13.140625" bestFit="1" customWidth="1"/>
    <col min="2109" max="2109" width="15.85546875" bestFit="1" customWidth="1"/>
    <col min="2110" max="2110" width="10.42578125" bestFit="1" customWidth="1"/>
    <col min="2111" max="2111" width="11.7109375" bestFit="1" customWidth="1"/>
    <col min="2112" max="2112" width="15.85546875" bestFit="1" customWidth="1"/>
    <col min="2113" max="2113" width="10.42578125" bestFit="1" customWidth="1"/>
    <col min="2114" max="2114" width="17.5703125" bestFit="1" customWidth="1"/>
    <col min="2115" max="2115" width="20.7109375" bestFit="1" customWidth="1"/>
    <col min="2116" max="2116" width="17.85546875" bestFit="1" customWidth="1"/>
    <col min="2117" max="2117" width="12.5703125" bestFit="1" customWidth="1"/>
    <col min="2118" max="2118" width="15" bestFit="1" customWidth="1"/>
    <col min="2119" max="2119" width="9.85546875" bestFit="1" customWidth="1"/>
    <col min="2120" max="2120" width="14.85546875" bestFit="1" customWidth="1"/>
    <col min="2121" max="2121" width="15" bestFit="1" customWidth="1"/>
    <col min="2122" max="2122" width="9.85546875" bestFit="1" customWidth="1"/>
    <col min="2123" max="2123" width="14.140625" bestFit="1" customWidth="1"/>
    <col min="2124" max="2124" width="15" bestFit="1" customWidth="1"/>
    <col min="2125" max="2125" width="9.85546875" bestFit="1" customWidth="1"/>
    <col min="2126" max="2126" width="13.140625" bestFit="1" customWidth="1"/>
    <col min="2127" max="2127" width="15" bestFit="1" customWidth="1"/>
    <col min="2128" max="2128" width="9.85546875" bestFit="1" customWidth="1"/>
    <col min="2129" max="2129" width="14.85546875" bestFit="1" customWidth="1"/>
    <col min="2130" max="2130" width="15.5703125" bestFit="1" customWidth="1"/>
    <col min="2131" max="2131" width="10.42578125" bestFit="1" customWidth="1"/>
    <col min="2132" max="2132" width="14.85546875" bestFit="1" customWidth="1"/>
    <col min="2133" max="2133" width="15.7109375" bestFit="1" customWidth="1"/>
    <col min="2134" max="2134" width="10.5703125" bestFit="1" customWidth="1"/>
    <col min="2135" max="2135" width="16" bestFit="1" customWidth="1"/>
    <col min="2136" max="2136" width="12.5703125" bestFit="1" customWidth="1"/>
    <col min="2137" max="2137" width="12.7109375" bestFit="1" customWidth="1"/>
    <col min="2138" max="2138" width="15.7109375" bestFit="1" customWidth="1"/>
    <col min="2139" max="2139" width="10.5703125" bestFit="1" customWidth="1"/>
    <col min="2140" max="2140" width="14.140625" bestFit="1" customWidth="1"/>
    <col min="2141" max="2141" width="15.7109375" bestFit="1" customWidth="1"/>
    <col min="2142" max="2142" width="10.5703125" bestFit="1" customWidth="1"/>
    <col min="2143" max="2143" width="11.42578125" bestFit="1" customWidth="1"/>
    <col min="2144" max="2144" width="15.7109375" bestFit="1" customWidth="1"/>
    <col min="2145" max="2145" width="10.5703125" bestFit="1" customWidth="1"/>
    <col min="2146" max="2146" width="12.5703125" bestFit="1" customWidth="1"/>
    <col min="2147" max="2147" width="14.85546875" bestFit="1" customWidth="1"/>
    <col min="2148" max="2148" width="15.7109375" bestFit="1" customWidth="1"/>
    <col min="2149" max="2149" width="10.5703125" bestFit="1" customWidth="1"/>
    <col min="2150" max="2150" width="14.85546875" bestFit="1" customWidth="1"/>
    <col min="2151" max="2151" width="15.85546875" bestFit="1" customWidth="1"/>
    <col min="2152" max="2152" width="10.7109375" bestFit="1" customWidth="1"/>
    <col min="2153" max="2153" width="12.5703125" bestFit="1" customWidth="1"/>
    <col min="2154" max="2154" width="13.140625" bestFit="1" customWidth="1"/>
    <col min="2155" max="2155" width="15.85546875" bestFit="1" customWidth="1"/>
    <col min="2156" max="2156" width="10.7109375" bestFit="1" customWidth="1"/>
    <col min="2157" max="2157" width="16" bestFit="1" customWidth="1"/>
    <col min="2158" max="2158" width="15.85546875" bestFit="1" customWidth="1"/>
    <col min="2159" max="2159" width="10.7109375" bestFit="1" customWidth="1"/>
    <col min="2160" max="2160" width="16" bestFit="1" customWidth="1"/>
    <col min="2161" max="2161" width="15.85546875" bestFit="1" customWidth="1"/>
    <col min="2162" max="2162" width="10.7109375" bestFit="1" customWidth="1"/>
    <col min="2163" max="2163" width="14.140625" bestFit="1" customWidth="1"/>
    <col min="2164" max="2164" width="15.85546875" bestFit="1" customWidth="1"/>
    <col min="2165" max="2165" width="10.7109375" bestFit="1" customWidth="1"/>
    <col min="2166" max="2166" width="13.140625" bestFit="1" customWidth="1"/>
    <col min="2167" max="2167" width="15.85546875" bestFit="1" customWidth="1"/>
    <col min="2168" max="2168" width="10.7109375" bestFit="1" customWidth="1"/>
    <col min="2169" max="2169" width="13.140625" bestFit="1" customWidth="1"/>
    <col min="2170" max="2170" width="15.7109375" bestFit="1" customWidth="1"/>
    <col min="2171" max="2171" width="10.5703125" bestFit="1" customWidth="1"/>
    <col min="2172" max="2172" width="14.85546875" bestFit="1" customWidth="1"/>
    <col min="2173" max="2173" width="15.140625" bestFit="1" customWidth="1"/>
    <col min="2174" max="2174" width="9.5703125" bestFit="1" customWidth="1"/>
    <col min="2175" max="2175" width="13.140625" bestFit="1" customWidth="1"/>
    <col min="2176" max="2176" width="10.140625" bestFit="1" customWidth="1"/>
    <col min="2177" max="2177" width="15.140625" bestFit="1" customWidth="1"/>
    <col min="2178" max="2178" width="9.5703125" bestFit="1" customWidth="1"/>
    <col min="2179" max="2179" width="12.5703125" bestFit="1" customWidth="1"/>
    <col min="2180" max="2180" width="15.140625" bestFit="1" customWidth="1"/>
    <col min="2181" max="2181" width="9.5703125" bestFit="1" customWidth="1"/>
    <col min="2182" max="2182" width="16" bestFit="1" customWidth="1"/>
    <col min="2183" max="2183" width="15.85546875" bestFit="1" customWidth="1"/>
    <col min="2184" max="2184" width="10.28515625" bestFit="1" customWidth="1"/>
    <col min="2185" max="2185" width="14.140625" bestFit="1" customWidth="1"/>
    <col min="2186" max="2186" width="15.85546875" bestFit="1" customWidth="1"/>
    <col min="2187" max="2187" width="10.28515625" bestFit="1" customWidth="1"/>
    <col min="2188" max="2188" width="14.85546875" bestFit="1" customWidth="1"/>
    <col min="2189" max="2189" width="15.85546875" bestFit="1" customWidth="1"/>
    <col min="2190" max="2190" width="10.28515625" bestFit="1" customWidth="1"/>
    <col min="2191" max="2191" width="14.85546875" bestFit="1" customWidth="1"/>
    <col min="2192" max="2192" width="13.140625" bestFit="1" customWidth="1"/>
    <col min="2193" max="2193" width="16" bestFit="1" customWidth="1"/>
    <col min="2194" max="2194" width="10.42578125" bestFit="1" customWidth="1"/>
    <col min="2195" max="2195" width="12.5703125" bestFit="1" customWidth="1"/>
    <col min="2196" max="2196" width="16" bestFit="1" customWidth="1"/>
    <col min="2197" max="2197" width="10.42578125" bestFit="1" customWidth="1"/>
    <col min="2198" max="2198" width="14.85546875" bestFit="1" customWidth="1"/>
    <col min="2199" max="2199" width="16" bestFit="1" customWidth="1"/>
    <col min="2200" max="2200" width="10.42578125" bestFit="1" customWidth="1"/>
    <col min="2201" max="2201" width="10.7109375" bestFit="1" customWidth="1"/>
    <col min="2202" max="2202" width="15" bestFit="1" customWidth="1"/>
    <col min="2203" max="2203" width="10.140625" bestFit="1" customWidth="1"/>
    <col min="2204" max="2204" width="14.85546875" bestFit="1" customWidth="1"/>
    <col min="2205" max="2205" width="15.140625" bestFit="1" customWidth="1"/>
    <col min="2206" max="2206" width="10.28515625" bestFit="1" customWidth="1"/>
    <col min="2207" max="2207" width="16" bestFit="1" customWidth="1"/>
    <col min="2208" max="2208" width="14.140625" bestFit="1" customWidth="1"/>
    <col min="2209" max="2209" width="15.140625" bestFit="1" customWidth="1"/>
    <col min="2210" max="2210" width="10.28515625" bestFit="1" customWidth="1"/>
    <col min="2211" max="2211" width="16" bestFit="1" customWidth="1"/>
    <col min="2212" max="2212" width="15.140625" bestFit="1" customWidth="1"/>
    <col min="2213" max="2213" width="10.28515625" bestFit="1" customWidth="1"/>
    <col min="2214" max="2214" width="16" bestFit="1" customWidth="1"/>
    <col min="2215" max="2215" width="15.140625" bestFit="1" customWidth="1"/>
    <col min="2216" max="2216" width="10.28515625" bestFit="1" customWidth="1"/>
    <col min="2217" max="2217" width="11.7109375" bestFit="1" customWidth="1"/>
    <col min="2218" max="2218" width="15.85546875" bestFit="1" customWidth="1"/>
    <col min="2219" max="2219" width="11" bestFit="1" customWidth="1"/>
    <col min="2220" max="2220" width="13.140625" bestFit="1" customWidth="1"/>
    <col min="2221" max="2221" width="15.85546875" bestFit="1" customWidth="1"/>
    <col min="2222" max="2222" width="11" bestFit="1" customWidth="1"/>
    <col min="2223" max="2223" width="14.85546875" bestFit="1" customWidth="1"/>
    <col min="2224" max="2224" width="15.85546875" bestFit="1" customWidth="1"/>
    <col min="2225" max="2225" width="11" bestFit="1" customWidth="1"/>
    <col min="2226" max="2226" width="12.5703125" bestFit="1" customWidth="1"/>
    <col min="2227" max="2227" width="10.140625" bestFit="1" customWidth="1"/>
    <col min="2228" max="2228" width="15.85546875" bestFit="1" customWidth="1"/>
    <col min="2229" max="2229" width="11" bestFit="1" customWidth="1"/>
    <col min="2230" max="2230" width="16" bestFit="1" customWidth="1"/>
    <col min="2231" max="2231" width="15.85546875" bestFit="1" customWidth="1"/>
    <col min="2232" max="2232" width="11" bestFit="1" customWidth="1"/>
    <col min="2233" max="2233" width="14.140625" bestFit="1" customWidth="1"/>
    <col min="2234" max="2234" width="16" bestFit="1" customWidth="1"/>
    <col min="2235" max="2235" width="11.140625" bestFit="1" customWidth="1"/>
    <col min="2236" max="2236" width="14.85546875" bestFit="1" customWidth="1"/>
    <col min="2237" max="2237" width="12.7109375" bestFit="1" customWidth="1"/>
    <col min="2238" max="2238" width="16" bestFit="1" customWidth="1"/>
    <col min="2239" max="2239" width="11.140625" bestFit="1" customWidth="1"/>
    <col min="2240" max="2241" width="16" bestFit="1" customWidth="1"/>
    <col min="2242" max="2242" width="11.140625" bestFit="1" customWidth="1"/>
    <col min="2243" max="2243" width="13.140625" bestFit="1" customWidth="1"/>
    <col min="2244" max="2244" width="16" bestFit="1" customWidth="1"/>
    <col min="2245" max="2245" width="11.140625" bestFit="1" customWidth="1"/>
    <col min="2246" max="2246" width="14.140625" bestFit="1" customWidth="1"/>
    <col min="2247" max="2247" width="16" bestFit="1" customWidth="1"/>
    <col min="2248" max="2248" width="11.140625" bestFit="1" customWidth="1"/>
    <col min="2249" max="2249" width="12.5703125" bestFit="1" customWidth="1"/>
    <col min="2250" max="2250" width="16" bestFit="1" customWidth="1"/>
    <col min="2251" max="2251" width="11.140625" bestFit="1" customWidth="1"/>
    <col min="2252" max="2252" width="14.85546875" bestFit="1" customWidth="1"/>
    <col min="2253" max="2253" width="14.140625" bestFit="1" customWidth="1"/>
    <col min="2254" max="2254" width="16" bestFit="1" customWidth="1"/>
    <col min="2255" max="2255" width="11.140625" bestFit="1" customWidth="1"/>
    <col min="2256" max="2256" width="16" bestFit="1" customWidth="1"/>
    <col min="2257" max="2257" width="10.140625" bestFit="1" customWidth="1"/>
    <col min="2258" max="2258" width="15.85546875" bestFit="1" customWidth="1"/>
    <col min="2259" max="2259" width="11" bestFit="1" customWidth="1"/>
    <col min="2260" max="2260" width="14.85546875" bestFit="1" customWidth="1"/>
    <col min="2261" max="2261" width="15.140625" bestFit="1" customWidth="1"/>
    <col min="2262" max="2262" width="9.7109375" bestFit="1" customWidth="1"/>
    <col min="2263" max="2263" width="13.140625" bestFit="1" customWidth="1"/>
    <col min="2264" max="2264" width="15.140625" bestFit="1" customWidth="1"/>
    <col min="2265" max="2265" width="9.7109375" bestFit="1" customWidth="1"/>
    <col min="2266" max="2266" width="16" bestFit="1" customWidth="1"/>
    <col min="2267" max="2267" width="12.5703125" bestFit="1" customWidth="1"/>
    <col min="2268" max="2268" width="15.140625" bestFit="1" customWidth="1"/>
    <col min="2269" max="2269" width="9.7109375" bestFit="1" customWidth="1"/>
    <col min="2270" max="2270" width="14.85546875" bestFit="1" customWidth="1"/>
    <col min="2271" max="2271" width="15.140625" bestFit="1" customWidth="1"/>
    <col min="2272" max="2272" width="9.7109375" bestFit="1" customWidth="1"/>
    <col min="2273" max="2273" width="12.5703125" bestFit="1" customWidth="1"/>
    <col min="2274" max="2274" width="14.85546875" bestFit="1" customWidth="1"/>
    <col min="2275" max="2275" width="15.140625" bestFit="1" customWidth="1"/>
    <col min="2276" max="2276" width="9.7109375" bestFit="1" customWidth="1"/>
    <col min="2277" max="2277" width="14.140625" bestFit="1" customWidth="1"/>
    <col min="2278" max="2278" width="15.140625" bestFit="1" customWidth="1"/>
    <col min="2279" max="2279" width="9.7109375" bestFit="1" customWidth="1"/>
    <col min="2280" max="2280" width="12.5703125" bestFit="1" customWidth="1"/>
    <col min="2281" max="2281" width="14.85546875" bestFit="1" customWidth="1"/>
    <col min="2282" max="2282" width="15.140625" bestFit="1" customWidth="1"/>
    <col min="2283" max="2283" width="9.7109375" bestFit="1" customWidth="1"/>
    <col min="2284" max="2284" width="14.85546875" bestFit="1" customWidth="1"/>
    <col min="2285" max="2285" width="15.85546875" bestFit="1" customWidth="1"/>
    <col min="2286" max="2286" width="10.42578125" bestFit="1" customWidth="1"/>
    <col min="2287" max="2287" width="12.5703125" bestFit="1" customWidth="1"/>
    <col min="2288" max="2288" width="14.85546875" bestFit="1" customWidth="1"/>
    <col min="2289" max="2289" width="15.85546875" bestFit="1" customWidth="1"/>
    <col min="2290" max="2290" width="10.42578125" bestFit="1" customWidth="1"/>
    <col min="2291" max="2291" width="14.85546875" bestFit="1" customWidth="1"/>
    <col min="2292" max="2292" width="15.85546875" bestFit="1" customWidth="1"/>
    <col min="2293" max="2293" width="10.42578125" bestFit="1" customWidth="1"/>
    <col min="2294" max="2294" width="12.5703125" bestFit="1" customWidth="1"/>
    <col min="2295" max="2295" width="15.85546875" bestFit="1" customWidth="1"/>
    <col min="2296" max="2296" width="10.42578125" bestFit="1" customWidth="1"/>
    <col min="2297" max="2297" width="12.5703125" bestFit="1" customWidth="1"/>
    <col min="2298" max="2298" width="15.85546875" bestFit="1" customWidth="1"/>
    <col min="2299" max="2299" width="10.42578125" bestFit="1" customWidth="1"/>
    <col min="2300" max="2300" width="16" bestFit="1" customWidth="1"/>
    <col min="2301" max="2301" width="14.140625" bestFit="1" customWidth="1"/>
    <col min="2302" max="2302" width="15.85546875" bestFit="1" customWidth="1"/>
    <col min="2303" max="2303" width="10.42578125" bestFit="1" customWidth="1"/>
    <col min="2304" max="2304" width="12.5703125" bestFit="1" customWidth="1"/>
    <col min="2305" max="2305" width="14.140625" bestFit="1" customWidth="1"/>
    <col min="2306" max="2306" width="16" bestFit="1" customWidth="1"/>
    <col min="2307" max="2307" width="10.5703125" bestFit="1" customWidth="1"/>
    <col min="2308" max="2308" width="14.85546875" bestFit="1" customWidth="1"/>
    <col min="2309" max="2309" width="15.85546875" bestFit="1" customWidth="1"/>
    <col min="2310" max="2310" width="10.42578125" bestFit="1" customWidth="1"/>
    <col min="2311" max="2311" width="11.7109375" bestFit="1" customWidth="1"/>
    <col min="2312" max="2312" width="16" bestFit="1" customWidth="1"/>
    <col min="2313" max="2313" width="10.5703125" bestFit="1" customWidth="1"/>
    <col min="2314" max="2314" width="13.140625" bestFit="1" customWidth="1"/>
    <col min="2315" max="2315" width="16" bestFit="1" customWidth="1"/>
    <col min="2316" max="2316" width="10.5703125" bestFit="1" customWidth="1"/>
    <col min="2317" max="2317" width="16" bestFit="1" customWidth="1"/>
    <col min="2318" max="2318" width="11.7109375" bestFit="1" customWidth="1"/>
    <col min="2319" max="2319" width="16" bestFit="1" customWidth="1"/>
    <col min="2320" max="2320" width="10.5703125" bestFit="1" customWidth="1"/>
    <col min="2321" max="2321" width="12.5703125" bestFit="1" customWidth="1"/>
    <col min="2322" max="2322" width="13.140625" bestFit="1" customWidth="1"/>
    <col min="2323" max="2323" width="11.7109375" bestFit="1" customWidth="1"/>
    <col min="2324" max="2324" width="16" bestFit="1" customWidth="1"/>
    <col min="2325" max="2325" width="10.5703125" bestFit="1" customWidth="1"/>
    <col min="2326" max="2326" width="13.140625" bestFit="1" customWidth="1"/>
    <col min="2327" max="2327" width="15" bestFit="1" customWidth="1"/>
    <col min="2328" max="2328" width="10.28515625" bestFit="1" customWidth="1"/>
    <col min="2329" max="2329" width="16" bestFit="1" customWidth="1"/>
    <col min="2330" max="2330" width="14.85546875" bestFit="1" customWidth="1"/>
    <col min="2331" max="2331" width="15.140625" bestFit="1" customWidth="1"/>
    <col min="2332" max="2332" width="10.42578125" bestFit="1" customWidth="1"/>
    <col min="2333" max="2333" width="14.85546875" bestFit="1" customWidth="1"/>
    <col min="2334" max="2334" width="15.140625" bestFit="1" customWidth="1"/>
    <col min="2335" max="2335" width="10.42578125" bestFit="1" customWidth="1"/>
    <col min="2336" max="2336" width="12.5703125" bestFit="1" customWidth="1"/>
    <col min="2337" max="2337" width="15.7109375" bestFit="1" customWidth="1"/>
    <col min="2338" max="2338" width="11" bestFit="1" customWidth="1"/>
    <col min="2339" max="2339" width="12.5703125" bestFit="1" customWidth="1"/>
    <col min="2340" max="2340" width="14.85546875" bestFit="1" customWidth="1"/>
    <col min="2341" max="2341" width="12.7109375" bestFit="1" customWidth="1"/>
    <col min="2342" max="2342" width="15.85546875" bestFit="1" customWidth="1"/>
    <col min="2343" max="2343" width="11.140625" bestFit="1" customWidth="1"/>
    <col min="2344" max="2344" width="16" bestFit="1" customWidth="1"/>
    <col min="2345" max="2345" width="15.85546875" bestFit="1" customWidth="1"/>
    <col min="2346" max="2346" width="11.140625" bestFit="1" customWidth="1"/>
    <col min="2347" max="2347" width="11.5703125" bestFit="1" customWidth="1"/>
    <col min="2348" max="2348" width="15.85546875" bestFit="1" customWidth="1"/>
    <col min="2349" max="2349" width="11.140625" bestFit="1" customWidth="1"/>
    <col min="2350" max="2350" width="16" bestFit="1" customWidth="1"/>
    <col min="2351" max="2351" width="15.85546875" bestFit="1" customWidth="1"/>
    <col min="2352" max="2352" width="11.140625" bestFit="1" customWidth="1"/>
    <col min="2353" max="2353" width="14.85546875" bestFit="1" customWidth="1"/>
    <col min="2354" max="2354" width="15.85546875" bestFit="1" customWidth="1"/>
    <col min="2355" max="2355" width="11.140625" bestFit="1" customWidth="1"/>
    <col min="2356" max="2356" width="12.5703125" bestFit="1" customWidth="1"/>
    <col min="2357" max="2357" width="15.85546875" bestFit="1" customWidth="1"/>
    <col min="2358" max="2358" width="11.140625" bestFit="1" customWidth="1"/>
    <col min="2359" max="2359" width="12.5703125" bestFit="1" customWidth="1"/>
    <col min="2360" max="2360" width="14.140625" bestFit="1" customWidth="1"/>
    <col min="2361" max="2361" width="11.7109375" bestFit="1" customWidth="1"/>
    <col min="2362" max="2362" width="10.140625" bestFit="1" customWidth="1"/>
    <col min="2363" max="2363" width="16" bestFit="1" customWidth="1"/>
    <col min="2364" max="2364" width="11.28515625" bestFit="1" customWidth="1"/>
    <col min="2365" max="2365" width="14.85546875" bestFit="1" customWidth="1"/>
    <col min="2366" max="2366" width="16" bestFit="1" customWidth="1"/>
    <col min="2367" max="2367" width="11.28515625" bestFit="1" customWidth="1"/>
    <col min="2368" max="2368" width="14.85546875" bestFit="1" customWidth="1"/>
    <col min="2369" max="2369" width="14.140625" bestFit="1" customWidth="1"/>
    <col min="2370" max="2370" width="16" bestFit="1" customWidth="1"/>
    <col min="2371" max="2371" width="11.28515625" bestFit="1" customWidth="1"/>
    <col min="2372" max="2372" width="14.85546875" bestFit="1" customWidth="1"/>
    <col min="2373" max="2373" width="14.140625" bestFit="1" customWidth="1"/>
    <col min="2374" max="2374" width="16" bestFit="1" customWidth="1"/>
    <col min="2375" max="2375" width="11.28515625" bestFit="1" customWidth="1"/>
    <col min="2376" max="2377" width="16" bestFit="1" customWidth="1"/>
    <col min="2378" max="2378" width="11.28515625" bestFit="1" customWidth="1"/>
    <col min="2379" max="2380" width="16" bestFit="1" customWidth="1"/>
    <col min="2381" max="2381" width="11.28515625" bestFit="1" customWidth="1"/>
    <col min="2382" max="2382" width="12.5703125" bestFit="1" customWidth="1"/>
    <col min="2383" max="2383" width="14.85546875" bestFit="1" customWidth="1"/>
    <col min="2384" max="2384" width="10.140625" bestFit="1" customWidth="1"/>
    <col min="2385" max="2385" width="16" bestFit="1" customWidth="1"/>
    <col min="2386" max="2386" width="11.28515625" bestFit="1" customWidth="1"/>
    <col min="2387" max="2387" width="11.7109375" bestFit="1" customWidth="1"/>
    <col min="2388" max="2388" width="16" bestFit="1" customWidth="1"/>
    <col min="2389" max="2389" width="11.28515625" bestFit="1" customWidth="1"/>
    <col min="2390" max="2390" width="12.5703125" bestFit="1" customWidth="1"/>
    <col min="2391" max="2391" width="15" bestFit="1" customWidth="1"/>
    <col min="2392" max="2392" width="9.5703125" bestFit="1" customWidth="1"/>
    <col min="2393" max="2393" width="12.5703125" bestFit="1" customWidth="1"/>
    <col min="2394" max="2394" width="15.140625" bestFit="1" customWidth="1"/>
    <col min="2395" max="2395" width="9.7109375" bestFit="1" customWidth="1"/>
    <col min="2396" max="2396" width="10.85546875" bestFit="1" customWidth="1"/>
    <col min="2397" max="2397" width="15.140625" bestFit="1" customWidth="1"/>
    <col min="2398" max="2398" width="9.7109375" bestFit="1" customWidth="1"/>
    <col min="2399" max="2399" width="14.140625" bestFit="1" customWidth="1"/>
    <col min="2400" max="2400" width="15.140625" bestFit="1" customWidth="1"/>
    <col min="2401" max="2401" width="9.7109375" bestFit="1" customWidth="1"/>
    <col min="2402" max="2402" width="14.85546875" bestFit="1" customWidth="1"/>
    <col min="2403" max="2403" width="14.140625" bestFit="1" customWidth="1"/>
    <col min="2404" max="2404" width="15.140625" bestFit="1" customWidth="1"/>
    <col min="2405" max="2405" width="9.7109375" bestFit="1" customWidth="1"/>
    <col min="2406" max="2406" width="11.7109375" bestFit="1" customWidth="1"/>
    <col min="2407" max="2407" width="15.140625" bestFit="1" customWidth="1"/>
    <col min="2408" max="2408" width="9.7109375" bestFit="1" customWidth="1"/>
    <col min="2409" max="2409" width="14.140625" bestFit="1" customWidth="1"/>
    <col min="2410" max="2410" width="15.140625" bestFit="1" customWidth="1"/>
    <col min="2411" max="2411" width="9.7109375" bestFit="1" customWidth="1"/>
    <col min="2412" max="2412" width="11.7109375" bestFit="1" customWidth="1"/>
    <col min="2413" max="2413" width="15.7109375" bestFit="1" customWidth="1"/>
    <col min="2414" max="2414" width="10.28515625" bestFit="1" customWidth="1"/>
    <col min="2415" max="2415" width="16" bestFit="1" customWidth="1"/>
    <col min="2416" max="2416" width="11.7109375" bestFit="1" customWidth="1"/>
    <col min="2417" max="2417" width="15.85546875" bestFit="1" customWidth="1"/>
    <col min="2418" max="2418" width="10.42578125" bestFit="1" customWidth="1"/>
    <col min="2419" max="2420" width="14.85546875" bestFit="1" customWidth="1"/>
    <col min="2421" max="2421" width="14.140625" bestFit="1" customWidth="1"/>
    <col min="2422" max="2422" width="15.85546875" bestFit="1" customWidth="1"/>
    <col min="2423" max="2423" width="10.42578125" bestFit="1" customWidth="1"/>
    <col min="2424" max="2424" width="14.85546875" bestFit="1" customWidth="1"/>
    <col min="2425" max="2425" width="16" bestFit="1" customWidth="1"/>
    <col min="2426" max="2426" width="10.5703125" bestFit="1" customWidth="1"/>
    <col min="2427" max="2427" width="12.5703125" bestFit="1" customWidth="1"/>
    <col min="2428" max="2428" width="11.7109375" bestFit="1" customWidth="1"/>
    <col min="2429" max="2429" width="16" bestFit="1" customWidth="1"/>
    <col min="2430" max="2430" width="10.5703125" bestFit="1" customWidth="1"/>
    <col min="2431" max="2431" width="12.5703125" bestFit="1" customWidth="1"/>
    <col min="2432" max="2432" width="16" bestFit="1" customWidth="1"/>
    <col min="2433" max="2433" width="10.5703125" bestFit="1" customWidth="1"/>
    <col min="2434" max="2434" width="12.5703125" bestFit="1" customWidth="1"/>
    <col min="2435" max="2435" width="16" bestFit="1" customWidth="1"/>
    <col min="2436" max="2436" width="10.5703125" bestFit="1" customWidth="1"/>
    <col min="2437" max="2437" width="11.7109375" bestFit="1" customWidth="1"/>
    <col min="2438" max="2438" width="16" bestFit="1" customWidth="1"/>
    <col min="2439" max="2439" width="10.5703125" bestFit="1" customWidth="1"/>
    <col min="2440" max="2440" width="11.7109375" bestFit="1" customWidth="1"/>
    <col min="2441" max="2441" width="16" bestFit="1" customWidth="1"/>
    <col min="2442" max="2442" width="10.5703125" bestFit="1" customWidth="1"/>
    <col min="2443" max="2444" width="14.85546875" bestFit="1" customWidth="1"/>
    <col min="2445" max="2445" width="10.140625" bestFit="1" customWidth="1"/>
    <col min="2446" max="2446" width="15.140625" bestFit="1" customWidth="1"/>
    <col min="2447" max="2447" width="9.28515625" bestFit="1" customWidth="1"/>
    <col min="2448" max="2448" width="12.5703125" bestFit="1" customWidth="1"/>
    <col min="2449" max="2449" width="14.140625" bestFit="1" customWidth="1"/>
    <col min="2450" max="2450" width="15.140625" bestFit="1" customWidth="1"/>
    <col min="2451" max="2451" width="9.28515625" bestFit="1" customWidth="1"/>
    <col min="2452" max="2452" width="16" bestFit="1" customWidth="1"/>
    <col min="2453" max="2453" width="15.85546875" bestFit="1" customWidth="1"/>
    <col min="2454" max="2454" width="10" bestFit="1" customWidth="1"/>
    <col min="2455" max="2455" width="14.140625" bestFit="1" customWidth="1"/>
    <col min="2456" max="2456" width="15.85546875" bestFit="1" customWidth="1"/>
    <col min="2457" max="2457" width="10" bestFit="1" customWidth="1"/>
    <col min="2458" max="2458" width="16" bestFit="1" customWidth="1"/>
    <col min="2459" max="2459" width="10.140625" bestFit="1" customWidth="1"/>
    <col min="2460" max="2460" width="15.85546875" bestFit="1" customWidth="1"/>
    <col min="2461" max="2461" width="10" bestFit="1" customWidth="1"/>
    <col min="2462" max="2462" width="16" bestFit="1" customWidth="1"/>
    <col min="2463" max="2463" width="10.140625" bestFit="1" customWidth="1"/>
    <col min="2464" max="2464" width="15.85546875" bestFit="1" customWidth="1"/>
    <col min="2465" max="2465" width="10" bestFit="1" customWidth="1"/>
    <col min="2466" max="2466" width="14.85546875" bestFit="1" customWidth="1"/>
    <col min="2467" max="2467" width="15.85546875" bestFit="1" customWidth="1"/>
    <col min="2468" max="2468" width="10" bestFit="1" customWidth="1"/>
    <col min="2469" max="2469" width="14.85546875" bestFit="1" customWidth="1"/>
    <col min="2470" max="2470" width="15.85546875" bestFit="1" customWidth="1"/>
    <col min="2471" max="2471" width="10" bestFit="1" customWidth="1"/>
    <col min="2472" max="2472" width="11.5703125" bestFit="1" customWidth="1"/>
    <col min="2473" max="2473" width="15.85546875" bestFit="1" customWidth="1"/>
    <col min="2474" max="2474" width="10" bestFit="1" customWidth="1"/>
    <col min="2475" max="2475" width="12.5703125" bestFit="1" customWidth="1"/>
    <col min="2476" max="2476" width="16" bestFit="1" customWidth="1"/>
    <col min="2477" max="2477" width="10.140625" bestFit="1" customWidth="1"/>
    <col min="2478" max="2478" width="14.140625" bestFit="1" customWidth="1"/>
    <col min="2479" max="2479" width="11.7109375" bestFit="1" customWidth="1"/>
    <col min="2480" max="2480" width="15.85546875" bestFit="1" customWidth="1"/>
    <col min="2481" max="2481" width="10" bestFit="1" customWidth="1"/>
    <col min="2482" max="2482" width="12.5703125" bestFit="1" customWidth="1"/>
    <col min="2483" max="2483" width="12.7109375" bestFit="1" customWidth="1"/>
    <col min="2484" max="2484" width="16" bestFit="1" customWidth="1"/>
    <col min="2485" max="2485" width="10.140625" bestFit="1" customWidth="1"/>
    <col min="2486" max="2486" width="11.7109375" bestFit="1" customWidth="1"/>
    <col min="2487" max="2487" width="16" bestFit="1" customWidth="1"/>
    <col min="2488" max="2488" width="10.140625" bestFit="1" customWidth="1"/>
    <col min="2489" max="2489" width="14.85546875" bestFit="1" customWidth="1"/>
    <col min="2490" max="2490" width="16" bestFit="1" customWidth="1"/>
    <col min="2491" max="2491" width="10.140625" bestFit="1" customWidth="1"/>
    <col min="2492" max="2492" width="13.140625" bestFit="1" customWidth="1"/>
    <col min="2493" max="2493" width="16" bestFit="1" customWidth="1"/>
    <col min="2494" max="2494" width="10.140625" bestFit="1" customWidth="1"/>
    <col min="2495" max="2495" width="16" bestFit="1" customWidth="1"/>
    <col min="2496" max="2496" width="14.85546875" bestFit="1" customWidth="1"/>
    <col min="2497" max="2497" width="15.85546875" bestFit="1" customWidth="1"/>
    <col min="2498" max="2498" width="10" bestFit="1" customWidth="1"/>
    <col min="2499" max="2500" width="14.85546875" bestFit="1" customWidth="1"/>
    <col min="2501" max="2501" width="13.140625" bestFit="1" customWidth="1"/>
    <col min="2502" max="2502" width="15.140625" bestFit="1" customWidth="1"/>
    <col min="2503" max="2503" width="10" bestFit="1" customWidth="1"/>
    <col min="2504" max="2504" width="12.5703125" bestFit="1" customWidth="1"/>
    <col min="2505" max="2505" width="15.140625" bestFit="1" customWidth="1"/>
    <col min="2506" max="2506" width="10" bestFit="1" customWidth="1"/>
    <col min="2507" max="2507" width="12.5703125" bestFit="1" customWidth="1"/>
    <col min="2508" max="2508" width="15.140625" bestFit="1" customWidth="1"/>
    <col min="2509" max="2509" width="10" bestFit="1" customWidth="1"/>
    <col min="2510" max="2510" width="13.140625" bestFit="1" customWidth="1"/>
    <col min="2511" max="2511" width="15.140625" bestFit="1" customWidth="1"/>
    <col min="2512" max="2512" width="10" bestFit="1" customWidth="1"/>
    <col min="2513" max="2513" width="12.5703125" bestFit="1" customWidth="1"/>
    <col min="2514" max="2514" width="15.140625" bestFit="1" customWidth="1"/>
    <col min="2515" max="2515" width="10" bestFit="1" customWidth="1"/>
    <col min="2516" max="2516" width="12.5703125" bestFit="1" customWidth="1"/>
    <col min="2517" max="2517" width="15.85546875" bestFit="1" customWidth="1"/>
    <col min="2518" max="2518" width="10.7109375" bestFit="1" customWidth="1"/>
    <col min="2519" max="2519" width="14.85546875" bestFit="1" customWidth="1"/>
    <col min="2520" max="2520" width="13.140625" bestFit="1" customWidth="1"/>
    <col min="2521" max="2521" width="15.85546875" bestFit="1" customWidth="1"/>
    <col min="2522" max="2522" width="10.7109375" bestFit="1" customWidth="1"/>
    <col min="2523" max="2523" width="12.5703125" bestFit="1" customWidth="1"/>
    <col min="2524" max="2524" width="15.85546875" bestFit="1" customWidth="1"/>
    <col min="2525" max="2525" width="10.7109375" bestFit="1" customWidth="1"/>
    <col min="2526" max="2526" width="14.85546875" bestFit="1" customWidth="1"/>
    <col min="2527" max="2527" width="15.85546875" bestFit="1" customWidth="1"/>
    <col min="2528" max="2528" width="10.7109375" bestFit="1" customWidth="1"/>
    <col min="2529" max="2529" width="12.5703125" bestFit="1" customWidth="1"/>
    <col min="2530" max="2530" width="14.85546875" bestFit="1" customWidth="1"/>
    <col min="2531" max="2531" width="14.140625" bestFit="1" customWidth="1"/>
    <col min="2532" max="2532" width="15.85546875" bestFit="1" customWidth="1"/>
    <col min="2533" max="2533" width="10.7109375" bestFit="1" customWidth="1"/>
    <col min="2534" max="2534" width="16" bestFit="1" customWidth="1"/>
    <col min="2535" max="2535" width="15.85546875" bestFit="1" customWidth="1"/>
    <col min="2536" max="2536" width="10.7109375" bestFit="1" customWidth="1"/>
    <col min="2537" max="2537" width="14.85546875" bestFit="1" customWidth="1"/>
    <col min="2538" max="2538" width="11.7109375" bestFit="1" customWidth="1"/>
    <col min="2539" max="2539" width="16" bestFit="1" customWidth="1"/>
    <col min="2540" max="2540" width="10.85546875" bestFit="1" customWidth="1"/>
    <col min="2541" max="2541" width="16" bestFit="1" customWidth="1"/>
    <col min="2542" max="2542" width="14.85546875" bestFit="1" customWidth="1"/>
    <col min="2543" max="2543" width="16" bestFit="1" customWidth="1"/>
    <col min="2544" max="2544" width="10.85546875" bestFit="1" customWidth="1"/>
    <col min="2545" max="2546" width="14.85546875" bestFit="1" customWidth="1"/>
    <col min="2547" max="2547" width="16" bestFit="1" customWidth="1"/>
    <col min="2548" max="2548" width="10.85546875" bestFit="1" customWidth="1"/>
    <col min="2549" max="2549" width="14.140625" bestFit="1" customWidth="1"/>
    <col min="2550" max="2550" width="16" bestFit="1" customWidth="1"/>
    <col min="2551" max="2551" width="10.85546875" bestFit="1" customWidth="1"/>
    <col min="2552" max="2552" width="12.5703125" bestFit="1" customWidth="1"/>
    <col min="2553" max="2553" width="12.7109375" bestFit="1" customWidth="1"/>
    <col min="2554" max="2554" width="16" bestFit="1" customWidth="1"/>
    <col min="2555" max="2555" width="10.85546875" bestFit="1" customWidth="1"/>
    <col min="2556" max="2556" width="14.85546875" bestFit="1" customWidth="1"/>
    <col min="2557" max="2557" width="15" bestFit="1" customWidth="1"/>
    <col min="2558" max="2558" width="9.5703125" bestFit="1" customWidth="1"/>
    <col min="2559" max="2559" width="12.5703125" bestFit="1" customWidth="1"/>
    <col min="2560" max="2560" width="14.85546875" bestFit="1" customWidth="1"/>
    <col min="2561" max="2561" width="15.140625" bestFit="1" customWidth="1"/>
    <col min="2562" max="2562" width="9.7109375" bestFit="1" customWidth="1"/>
    <col min="2563" max="2563" width="12.7109375" bestFit="1" customWidth="1"/>
    <col min="2564" max="2564" width="15.140625" bestFit="1" customWidth="1"/>
    <col min="2565" max="2565" width="9.7109375" bestFit="1" customWidth="1"/>
    <col min="2566" max="2566" width="16" bestFit="1" customWidth="1"/>
    <col min="2567" max="2567" width="10.140625" bestFit="1" customWidth="1"/>
    <col min="2568" max="2568" width="15.140625" bestFit="1" customWidth="1"/>
    <col min="2569" max="2569" width="9.7109375" bestFit="1" customWidth="1"/>
    <col min="2570" max="2570" width="12.5703125" bestFit="1" customWidth="1"/>
    <col min="2571" max="2571" width="15.140625" bestFit="1" customWidth="1"/>
    <col min="2572" max="2572" width="9.7109375" bestFit="1" customWidth="1"/>
    <col min="2573" max="2573" width="16" bestFit="1" customWidth="1"/>
    <col min="2574" max="2574" width="14.85546875" bestFit="1" customWidth="1"/>
    <col min="2575" max="2575" width="15.140625" bestFit="1" customWidth="1"/>
    <col min="2576" max="2576" width="9.7109375" bestFit="1" customWidth="1"/>
    <col min="2577" max="2577" width="14.85546875" bestFit="1" customWidth="1"/>
    <col min="2578" max="2578" width="15.85546875" bestFit="1" customWidth="1"/>
    <col min="2579" max="2579" width="10.42578125" bestFit="1" customWidth="1"/>
    <col min="2580" max="2580" width="16" bestFit="1" customWidth="1"/>
    <col min="2581" max="2581" width="15.85546875" bestFit="1" customWidth="1"/>
    <col min="2582" max="2582" width="10.42578125" bestFit="1" customWidth="1"/>
    <col min="2583" max="2583" width="12.5703125" bestFit="1" customWidth="1"/>
    <col min="2584" max="2584" width="15.85546875" bestFit="1" customWidth="1"/>
    <col min="2585" max="2585" width="10.42578125" bestFit="1" customWidth="1"/>
    <col min="2586" max="2586" width="14.140625" bestFit="1" customWidth="1"/>
    <col min="2587" max="2587" width="15.85546875" bestFit="1" customWidth="1"/>
    <col min="2588" max="2588" width="10.42578125" bestFit="1" customWidth="1"/>
    <col min="2589" max="2589" width="12.5703125" bestFit="1" customWidth="1"/>
    <col min="2590" max="2590" width="15.85546875" bestFit="1" customWidth="1"/>
    <col min="2591" max="2591" width="10.42578125" bestFit="1" customWidth="1"/>
    <col min="2592" max="2592" width="14.85546875" bestFit="1" customWidth="1"/>
    <col min="2593" max="2593" width="15.85546875" bestFit="1" customWidth="1"/>
    <col min="2594" max="2594" width="10.42578125" bestFit="1" customWidth="1"/>
    <col min="2595" max="2595" width="14.140625" bestFit="1" customWidth="1"/>
    <col min="2596" max="2596" width="16" bestFit="1" customWidth="1"/>
    <col min="2597" max="2597" width="10.5703125" bestFit="1" customWidth="1"/>
    <col min="2598" max="2598" width="13.140625" bestFit="1" customWidth="1"/>
    <col min="2599" max="2599" width="15.85546875" bestFit="1" customWidth="1"/>
    <col min="2600" max="2600" width="10.42578125" bestFit="1" customWidth="1"/>
    <col min="2601" max="2601" width="12.5703125" bestFit="1" customWidth="1"/>
    <col min="2602" max="2602" width="16" bestFit="1" customWidth="1"/>
    <col min="2603" max="2603" width="10.5703125" bestFit="1" customWidth="1"/>
    <col min="2604" max="2604" width="13.140625" bestFit="1" customWidth="1"/>
    <col min="2605" max="2605" width="16" bestFit="1" customWidth="1"/>
    <col min="2606" max="2606" width="10.5703125" bestFit="1" customWidth="1"/>
    <col min="2607" max="2607" width="14.85546875" bestFit="1" customWidth="1"/>
    <col min="2608" max="2608" width="16" bestFit="1" customWidth="1"/>
    <col min="2609" max="2609" width="10.5703125" bestFit="1" customWidth="1"/>
    <col min="2610" max="2610" width="13.140625" bestFit="1" customWidth="1"/>
    <col min="2611" max="2611" width="12.7109375" bestFit="1" customWidth="1"/>
    <col min="2612" max="2612" width="16" bestFit="1" customWidth="1"/>
    <col min="2613" max="2613" width="10.5703125" bestFit="1" customWidth="1"/>
    <col min="2614" max="2614" width="11.7109375" bestFit="1" customWidth="1"/>
    <col min="2615" max="2615" width="16" bestFit="1" customWidth="1"/>
    <col min="2616" max="2616" width="10.5703125" bestFit="1" customWidth="1"/>
    <col min="2617" max="2617" width="14.140625" bestFit="1" customWidth="1"/>
    <col min="2618" max="2618" width="16" bestFit="1" customWidth="1"/>
    <col min="2619" max="2619" width="10.5703125" bestFit="1" customWidth="1"/>
    <col min="2620" max="2620" width="14.85546875" bestFit="1" customWidth="1"/>
    <col min="2621" max="2621" width="16" bestFit="1" customWidth="1"/>
    <col min="2622" max="2622" width="10.5703125" bestFit="1" customWidth="1"/>
    <col min="2623" max="2623" width="12.5703125" bestFit="1" customWidth="1"/>
    <col min="2624" max="2624" width="16" bestFit="1" customWidth="1"/>
    <col min="2625" max="2625" width="10.5703125" bestFit="1" customWidth="1"/>
    <col min="2626" max="2626" width="12.5703125" bestFit="1" customWidth="1"/>
    <col min="2627" max="2627" width="14.85546875" bestFit="1" customWidth="1"/>
    <col min="2628" max="2628" width="9.42578125" bestFit="1" customWidth="1"/>
    <col min="2629" max="2629" width="16" bestFit="1" customWidth="1"/>
    <col min="2630" max="2630" width="15" bestFit="1" customWidth="1"/>
    <col min="2631" max="2631" width="9.5703125" bestFit="1" customWidth="1"/>
    <col min="2632" max="2632" width="16" bestFit="1" customWidth="1"/>
    <col min="2633" max="2633" width="13.140625" bestFit="1" customWidth="1"/>
    <col min="2634" max="2634" width="11.7109375" bestFit="1" customWidth="1"/>
    <col min="2635" max="2635" width="10.140625" bestFit="1" customWidth="1"/>
    <col min="2636" max="2636" width="15" bestFit="1" customWidth="1"/>
    <col min="2637" max="2637" width="9.5703125" bestFit="1" customWidth="1"/>
    <col min="2638" max="2638" width="16" bestFit="1" customWidth="1"/>
    <col min="2639" max="2639" width="15" bestFit="1" customWidth="1"/>
    <col min="2640" max="2640" width="9.5703125" bestFit="1" customWidth="1"/>
    <col min="2641" max="2641" width="13.140625" bestFit="1" customWidth="1"/>
    <col min="2642" max="2642" width="10.140625" bestFit="1" customWidth="1"/>
    <col min="2643" max="2643" width="15.7109375" bestFit="1" customWidth="1"/>
    <col min="2644" max="2644" width="10.28515625" bestFit="1" customWidth="1"/>
    <col min="2645" max="2645" width="14.85546875" bestFit="1" customWidth="1"/>
    <col min="2646" max="2646" width="15.7109375" bestFit="1" customWidth="1"/>
    <col min="2647" max="2647" width="10.28515625" bestFit="1" customWidth="1"/>
    <col min="2648" max="2648" width="14.140625" bestFit="1" customWidth="1"/>
    <col min="2649" max="2649" width="15.7109375" bestFit="1" customWidth="1"/>
    <col min="2650" max="2650" width="10.28515625" bestFit="1" customWidth="1"/>
    <col min="2651" max="2651" width="12.5703125" bestFit="1" customWidth="1"/>
    <col min="2652" max="2652" width="15.7109375" bestFit="1" customWidth="1"/>
    <col min="2653" max="2653" width="10.28515625" bestFit="1" customWidth="1"/>
    <col min="2654" max="2654" width="14.140625" bestFit="1" customWidth="1"/>
    <col min="2655" max="2655" width="15.7109375" bestFit="1" customWidth="1"/>
    <col min="2656" max="2656" width="10.28515625" bestFit="1" customWidth="1"/>
    <col min="2657" max="2657" width="12.5703125" bestFit="1" customWidth="1"/>
    <col min="2658" max="2658" width="15.7109375" bestFit="1" customWidth="1"/>
    <col min="2659" max="2659" width="10.28515625" bestFit="1" customWidth="1"/>
    <col min="2660" max="2660" width="11.7109375" bestFit="1" customWidth="1"/>
    <col min="2661" max="2661" width="15.7109375" bestFit="1" customWidth="1"/>
    <col min="2662" max="2662" width="10.28515625" bestFit="1" customWidth="1"/>
    <col min="2663" max="2663" width="14.85546875" bestFit="1" customWidth="1"/>
    <col min="2664" max="2664" width="15.7109375" bestFit="1" customWidth="1"/>
    <col min="2665" max="2665" width="10.28515625" bestFit="1" customWidth="1"/>
    <col min="2666" max="2666" width="11.7109375" bestFit="1" customWidth="1"/>
    <col min="2667" max="2667" width="15.85546875" bestFit="1" customWidth="1"/>
    <col min="2668" max="2668" width="10.42578125" bestFit="1" customWidth="1"/>
    <col min="2669" max="2669" width="16" bestFit="1" customWidth="1"/>
    <col min="2670" max="2670" width="12.5703125" bestFit="1" customWidth="1"/>
    <col min="2671" max="2671" width="14.85546875" bestFit="1" customWidth="1"/>
    <col min="2672" max="2672" width="15.7109375" bestFit="1" customWidth="1"/>
    <col min="2673" max="2673" width="10.28515625" bestFit="1" customWidth="1"/>
    <col min="2674" max="2674" width="14.85546875" bestFit="1" customWidth="1"/>
    <col min="2675" max="2675" width="15.85546875" bestFit="1" customWidth="1"/>
    <col min="2676" max="2676" width="10.42578125" bestFit="1" customWidth="1"/>
    <col min="2677" max="2677" width="14.85546875" bestFit="1" customWidth="1"/>
    <col min="2678" max="2678" width="13.140625" bestFit="1" customWidth="1"/>
    <col min="2679" max="2679" width="15.85546875" bestFit="1" customWidth="1"/>
    <col min="2680" max="2680" width="10.42578125" bestFit="1" customWidth="1"/>
    <col min="2681" max="2681" width="13.140625" bestFit="1" customWidth="1"/>
    <col min="2682" max="2682" width="14.7109375" bestFit="1" customWidth="1"/>
    <col min="2683" max="2683" width="9.85546875" bestFit="1" customWidth="1"/>
    <col min="2684" max="2684" width="13.140625" bestFit="1" customWidth="1"/>
    <col min="2685" max="2685" width="14.85546875" bestFit="1" customWidth="1"/>
    <col min="2686" max="2686" width="10" bestFit="1" customWidth="1"/>
    <col min="2687" max="2687" width="14.140625" bestFit="1" customWidth="1"/>
    <col min="2688" max="2688" width="14.85546875" bestFit="1" customWidth="1"/>
    <col min="2689" max="2689" width="10" bestFit="1" customWidth="1"/>
    <col min="2690" max="2690" width="14.140625" bestFit="1" customWidth="1"/>
    <col min="2691" max="2691" width="14.85546875" bestFit="1" customWidth="1"/>
    <col min="2692" max="2692" width="10" bestFit="1" customWidth="1"/>
    <col min="2693" max="2693" width="10.5703125" bestFit="1" customWidth="1"/>
    <col min="2694" max="2694" width="14.85546875" bestFit="1" customWidth="1"/>
    <col min="2695" max="2695" width="10" bestFit="1" customWidth="1"/>
    <col min="2696" max="2697" width="14.85546875" bestFit="1" customWidth="1"/>
    <col min="2698" max="2698" width="10" bestFit="1" customWidth="1"/>
    <col min="2699" max="2699" width="16" bestFit="1" customWidth="1"/>
    <col min="2700" max="2700" width="12.7109375" bestFit="1" customWidth="1"/>
    <col min="2701" max="2701" width="14.85546875" bestFit="1" customWidth="1"/>
    <col min="2702" max="2702" width="10" bestFit="1" customWidth="1"/>
    <col min="2703" max="2703" width="16" bestFit="1" customWidth="1"/>
    <col min="2704" max="2704" width="14.85546875" bestFit="1" customWidth="1"/>
    <col min="2705" max="2705" width="10" bestFit="1" customWidth="1"/>
    <col min="2706" max="2706" width="12.7109375" bestFit="1" customWidth="1"/>
    <col min="2707" max="2707" width="15.42578125" bestFit="1" customWidth="1"/>
    <col min="2708" max="2708" width="10.5703125" bestFit="1" customWidth="1"/>
    <col min="2709" max="2709" width="12.7109375" bestFit="1" customWidth="1"/>
    <col min="2710" max="2710" width="15.5703125" bestFit="1" customWidth="1"/>
    <col min="2711" max="2711" width="10.7109375" bestFit="1" customWidth="1"/>
    <col min="2712" max="2712" width="12.5703125" bestFit="1" customWidth="1"/>
    <col min="2713" max="2713" width="10.140625" bestFit="1" customWidth="1"/>
    <col min="2714" max="2714" width="15.5703125" bestFit="1" customWidth="1"/>
    <col min="2715" max="2715" width="10.7109375" bestFit="1" customWidth="1"/>
    <col min="2716" max="2716" width="16" bestFit="1" customWidth="1"/>
    <col min="2717" max="2717" width="14.85546875" bestFit="1" customWidth="1"/>
    <col min="2718" max="2718" width="15.5703125" bestFit="1" customWidth="1"/>
    <col min="2719" max="2719" width="10.7109375" bestFit="1" customWidth="1"/>
    <col min="2720" max="2720" width="16" bestFit="1" customWidth="1"/>
    <col min="2721" max="2721" width="15.5703125" bestFit="1" customWidth="1"/>
    <col min="2722" max="2722" width="10.7109375" bestFit="1" customWidth="1"/>
    <col min="2723" max="2723" width="16" bestFit="1" customWidth="1"/>
    <col min="2724" max="2724" width="14.140625" bestFit="1" customWidth="1"/>
    <col min="2725" max="2725" width="15.5703125" bestFit="1" customWidth="1"/>
    <col min="2726" max="2726" width="10.7109375" bestFit="1" customWidth="1"/>
    <col min="2727" max="2727" width="14.85546875" bestFit="1" customWidth="1"/>
    <col min="2728" max="2728" width="13.140625" bestFit="1" customWidth="1"/>
    <col min="2729" max="2729" width="15.7109375" bestFit="1" customWidth="1"/>
    <col min="2730" max="2730" width="10.85546875" bestFit="1" customWidth="1"/>
    <col min="2731" max="2731" width="14.85546875" bestFit="1" customWidth="1"/>
    <col min="2732" max="2732" width="14.140625" bestFit="1" customWidth="1"/>
    <col min="2733" max="2733" width="15.7109375" bestFit="1" customWidth="1"/>
    <col min="2734" max="2734" width="10.85546875" bestFit="1" customWidth="1"/>
    <col min="2735" max="2735" width="14.85546875" bestFit="1" customWidth="1"/>
    <col min="2736" max="2736" width="15.7109375" bestFit="1" customWidth="1"/>
    <col min="2737" max="2737" width="10.85546875" bestFit="1" customWidth="1"/>
    <col min="2738" max="2738" width="12.5703125" bestFit="1" customWidth="1"/>
    <col min="2739" max="2739" width="15.7109375" bestFit="1" customWidth="1"/>
    <col min="2740" max="2740" width="10.85546875" bestFit="1" customWidth="1"/>
    <col min="2741" max="2741" width="12.5703125" bestFit="1" customWidth="1"/>
    <col min="2742" max="2742" width="10.140625" bestFit="1" customWidth="1"/>
    <col min="2743" max="2743" width="15.7109375" bestFit="1" customWidth="1"/>
    <col min="2744" max="2744" width="10.85546875" bestFit="1" customWidth="1"/>
    <col min="2745" max="2745" width="14.85546875" bestFit="1" customWidth="1"/>
    <col min="2746" max="2746" width="11.7109375" bestFit="1" customWidth="1"/>
    <col min="2747" max="2747" width="15" bestFit="1" customWidth="1"/>
    <col min="2748" max="2748" width="9.5703125" bestFit="1" customWidth="1"/>
    <col min="2749" max="2749" width="12.5703125" bestFit="1" customWidth="1"/>
    <col min="2750" max="2750" width="13.140625" bestFit="1" customWidth="1"/>
    <col min="2751" max="2751" width="15" bestFit="1" customWidth="1"/>
    <col min="2752" max="2752" width="9.5703125" bestFit="1" customWidth="1"/>
    <col min="2753" max="2753" width="14.140625" bestFit="1" customWidth="1"/>
    <col min="2754" max="2754" width="11.7109375" bestFit="1" customWidth="1"/>
    <col min="2755" max="2755" width="15" bestFit="1" customWidth="1"/>
    <col min="2756" max="2756" width="9.5703125" bestFit="1" customWidth="1"/>
    <col min="2757" max="2757" width="14.85546875" bestFit="1" customWidth="1"/>
    <col min="2758" max="2758" width="14.140625" bestFit="1" customWidth="1"/>
    <col min="2759" max="2759" width="15" bestFit="1" customWidth="1"/>
    <col min="2760" max="2760" width="9.5703125" bestFit="1" customWidth="1"/>
    <col min="2761" max="2761" width="14.85546875" bestFit="1" customWidth="1"/>
    <col min="2762" max="2762" width="15" bestFit="1" customWidth="1"/>
    <col min="2763" max="2763" width="9.5703125" bestFit="1" customWidth="1"/>
    <col min="2764" max="2764" width="12.5703125" bestFit="1" customWidth="1"/>
    <col min="2765" max="2765" width="15" bestFit="1" customWidth="1"/>
    <col min="2766" max="2766" width="9.5703125" bestFit="1" customWidth="1"/>
    <col min="2767" max="2767" width="14.85546875" bestFit="1" customWidth="1"/>
    <col min="2768" max="2768" width="13.140625" bestFit="1" customWidth="1"/>
    <col min="2769" max="2769" width="15.7109375" bestFit="1" customWidth="1"/>
    <col min="2770" max="2770" width="10.28515625" bestFit="1" customWidth="1"/>
    <col min="2771" max="2771" width="11.28515625" bestFit="1" customWidth="1"/>
    <col min="2772" max="2772" width="15.5703125" bestFit="1" customWidth="1"/>
    <col min="2773" max="2773" width="10.140625" bestFit="1" customWidth="1"/>
    <col min="2774" max="2774" width="14.85546875" bestFit="1" customWidth="1"/>
    <col min="2775" max="2775" width="13.140625" bestFit="1" customWidth="1"/>
    <col min="2776" max="2776" width="11.7109375" bestFit="1" customWidth="1"/>
    <col min="2777" max="2777" width="15.7109375" bestFit="1" customWidth="1"/>
    <col min="2778" max="2778" width="10.28515625" bestFit="1" customWidth="1"/>
    <col min="2779" max="2779" width="14.140625" bestFit="1" customWidth="1"/>
    <col min="2780" max="2780" width="15.7109375" bestFit="1" customWidth="1"/>
    <col min="2781" max="2781" width="10.28515625" bestFit="1" customWidth="1"/>
    <col min="2782" max="2782" width="14.85546875" bestFit="1" customWidth="1"/>
    <col min="2783" max="2783" width="15.7109375" bestFit="1" customWidth="1"/>
    <col min="2784" max="2784" width="10.28515625" bestFit="1" customWidth="1"/>
    <col min="2785" max="2785" width="11.42578125" bestFit="1" customWidth="1"/>
    <col min="2786" max="2786" width="15.7109375" bestFit="1" customWidth="1"/>
    <col min="2787" max="2787" width="10.28515625" bestFit="1" customWidth="1"/>
    <col min="2788" max="2788" width="16" bestFit="1" customWidth="1"/>
    <col min="2789" max="2789" width="15.7109375" bestFit="1" customWidth="1"/>
    <col min="2790" max="2790" width="10.28515625" bestFit="1" customWidth="1"/>
    <col min="2791" max="2791" width="14.85546875" bestFit="1" customWidth="1"/>
    <col min="2792" max="2792" width="15.85546875" bestFit="1" customWidth="1"/>
    <col min="2793" max="2793" width="10.42578125" bestFit="1" customWidth="1"/>
    <col min="2794" max="2794" width="14.85546875" bestFit="1" customWidth="1"/>
    <col min="2795" max="2795" width="15.7109375" bestFit="1" customWidth="1"/>
    <col min="2796" max="2796" width="10.28515625" bestFit="1" customWidth="1"/>
    <col min="2797" max="2797" width="16" bestFit="1" customWidth="1"/>
    <col min="2798" max="2798" width="14.85546875" bestFit="1" customWidth="1"/>
    <col min="2799" max="2799" width="15.85546875" bestFit="1" customWidth="1"/>
    <col min="2800" max="2800" width="10.42578125" bestFit="1" customWidth="1"/>
    <col min="2801" max="2801" width="12.5703125" bestFit="1" customWidth="1"/>
    <col min="2802" max="2802" width="15.85546875" bestFit="1" customWidth="1"/>
    <col min="2803" max="2803" width="10.42578125" bestFit="1" customWidth="1"/>
    <col min="2804" max="2804" width="12.5703125" bestFit="1" customWidth="1"/>
    <col min="2805" max="2805" width="14.85546875" bestFit="1" customWidth="1"/>
    <col min="2806" max="2806" width="15.85546875" bestFit="1" customWidth="1"/>
    <col min="2807" max="2807" width="10.42578125" bestFit="1" customWidth="1"/>
    <col min="2808" max="2808" width="16" bestFit="1" customWidth="1"/>
    <col min="2809" max="2809" width="12.5703125" bestFit="1" customWidth="1"/>
    <col min="2810" max="2810" width="15.85546875" bestFit="1" customWidth="1"/>
    <col min="2811" max="2811" width="10.42578125" bestFit="1" customWidth="1"/>
    <col min="2812" max="2812" width="13.140625" bestFit="1" customWidth="1"/>
    <col min="2813" max="2813" width="15.85546875" bestFit="1" customWidth="1"/>
    <col min="2814" max="2814" width="10.42578125" bestFit="1" customWidth="1"/>
    <col min="2815" max="2815" width="11.7109375" bestFit="1" customWidth="1"/>
    <col min="2816" max="2816" width="15.85546875" bestFit="1" customWidth="1"/>
    <col min="2817" max="2817" width="10.42578125" bestFit="1" customWidth="1"/>
    <col min="2818" max="2818" width="17.5703125" bestFit="1" customWidth="1"/>
    <col min="2819" max="2819" width="20.7109375" bestFit="1" customWidth="1"/>
    <col min="2820" max="2820" width="16.85546875" bestFit="1" customWidth="1"/>
    <col min="2821" max="2821" width="17.85546875" bestFit="1" customWidth="1"/>
    <col min="2822" max="2822" width="15" bestFit="1" customWidth="1"/>
    <col min="2823" max="2823" width="9.85546875" bestFit="1" customWidth="1"/>
    <col min="2824" max="2824" width="14.85546875" bestFit="1" customWidth="1"/>
    <col min="2825" max="2825" width="15" bestFit="1" customWidth="1"/>
    <col min="2826" max="2826" width="9.85546875" bestFit="1" customWidth="1"/>
    <col min="2827" max="2827" width="14.140625" bestFit="1" customWidth="1"/>
    <col min="2828" max="2828" width="15" bestFit="1" customWidth="1"/>
    <col min="2829" max="2829" width="9.85546875" bestFit="1" customWidth="1"/>
    <col min="2830" max="2830" width="13.140625" bestFit="1" customWidth="1"/>
    <col min="2831" max="2831" width="15" bestFit="1" customWidth="1"/>
    <col min="2832" max="2832" width="9.85546875" bestFit="1" customWidth="1"/>
    <col min="2833" max="2833" width="14.85546875" bestFit="1" customWidth="1"/>
    <col min="2834" max="2834" width="15.5703125" bestFit="1" customWidth="1"/>
    <col min="2835" max="2835" width="10.42578125" bestFit="1" customWidth="1"/>
    <col min="2836" max="2836" width="14.85546875" bestFit="1" customWidth="1"/>
    <col min="2837" max="2837" width="15.7109375" bestFit="1" customWidth="1"/>
    <col min="2838" max="2838" width="10.5703125" bestFit="1" customWidth="1"/>
    <col min="2839" max="2839" width="16" bestFit="1" customWidth="1"/>
    <col min="2840" max="2840" width="12.5703125" bestFit="1" customWidth="1"/>
    <col min="2841" max="2841" width="12.7109375" bestFit="1" customWidth="1"/>
    <col min="2842" max="2842" width="15.7109375" bestFit="1" customWidth="1"/>
    <col min="2843" max="2843" width="10.5703125" bestFit="1" customWidth="1"/>
    <col min="2844" max="2844" width="14.140625" bestFit="1" customWidth="1"/>
    <col min="2845" max="2845" width="15.7109375" bestFit="1" customWidth="1"/>
    <col min="2846" max="2846" width="10.5703125" bestFit="1" customWidth="1"/>
    <col min="2847" max="2847" width="11.42578125" bestFit="1" customWidth="1"/>
    <col min="2848" max="2848" width="15.7109375" bestFit="1" customWidth="1"/>
    <col min="2849" max="2849" width="10.5703125" bestFit="1" customWidth="1"/>
    <col min="2850" max="2850" width="12.5703125" bestFit="1" customWidth="1"/>
    <col min="2851" max="2851" width="14.85546875" bestFit="1" customWidth="1"/>
    <col min="2852" max="2852" width="15.7109375" bestFit="1" customWidth="1"/>
    <col min="2853" max="2853" width="10.5703125" bestFit="1" customWidth="1"/>
    <col min="2854" max="2854" width="14.85546875" bestFit="1" customWidth="1"/>
    <col min="2855" max="2855" width="15.85546875" bestFit="1" customWidth="1"/>
    <col min="2856" max="2856" width="10.7109375" bestFit="1" customWidth="1"/>
    <col min="2857" max="2857" width="12.5703125" bestFit="1" customWidth="1"/>
    <col min="2858" max="2858" width="13.140625" bestFit="1" customWidth="1"/>
    <col min="2859" max="2859" width="15.85546875" bestFit="1" customWidth="1"/>
    <col min="2860" max="2860" width="10.7109375" bestFit="1" customWidth="1"/>
    <col min="2861" max="2861" width="16" bestFit="1" customWidth="1"/>
    <col min="2862" max="2862" width="15.85546875" bestFit="1" customWidth="1"/>
    <col min="2863" max="2863" width="10.7109375" bestFit="1" customWidth="1"/>
    <col min="2864" max="2864" width="16" bestFit="1" customWidth="1"/>
    <col min="2865" max="2865" width="15.85546875" bestFit="1" customWidth="1"/>
    <col min="2866" max="2866" width="10.7109375" bestFit="1" customWidth="1"/>
    <col min="2867" max="2867" width="14.140625" bestFit="1" customWidth="1"/>
    <col min="2868" max="2868" width="15.85546875" bestFit="1" customWidth="1"/>
    <col min="2869" max="2869" width="10.7109375" bestFit="1" customWidth="1"/>
    <col min="2870" max="2870" width="13.140625" bestFit="1" customWidth="1"/>
    <col min="2871" max="2871" width="15.85546875" bestFit="1" customWidth="1"/>
    <col min="2872" max="2872" width="10.7109375" bestFit="1" customWidth="1"/>
    <col min="2873" max="2873" width="13.140625" bestFit="1" customWidth="1"/>
    <col min="2874" max="2874" width="15.7109375" bestFit="1" customWidth="1"/>
    <col min="2875" max="2875" width="10.5703125" bestFit="1" customWidth="1"/>
    <col min="2876" max="2876" width="14.85546875" bestFit="1" customWidth="1"/>
    <col min="2877" max="2877" width="15.140625" bestFit="1" customWidth="1"/>
    <col min="2878" max="2878" width="9.5703125" bestFit="1" customWidth="1"/>
    <col min="2879" max="2879" width="13.140625" bestFit="1" customWidth="1"/>
    <col min="2880" max="2880" width="10.140625" bestFit="1" customWidth="1"/>
    <col min="2881" max="2881" width="15.140625" bestFit="1" customWidth="1"/>
    <col min="2882" max="2882" width="9.5703125" bestFit="1" customWidth="1"/>
    <col min="2883" max="2883" width="12.5703125" bestFit="1" customWidth="1"/>
    <col min="2884" max="2884" width="15.140625" bestFit="1" customWidth="1"/>
    <col min="2885" max="2885" width="9.5703125" bestFit="1" customWidth="1"/>
    <col min="2886" max="2886" width="16" bestFit="1" customWidth="1"/>
    <col min="2887" max="2887" width="15.85546875" bestFit="1" customWidth="1"/>
    <col min="2888" max="2888" width="10.28515625" bestFit="1" customWidth="1"/>
    <col min="2889" max="2889" width="14.140625" bestFit="1" customWidth="1"/>
    <col min="2890" max="2890" width="15.85546875" bestFit="1" customWidth="1"/>
    <col min="2891" max="2891" width="10.28515625" bestFit="1" customWidth="1"/>
    <col min="2892" max="2892" width="14.85546875" bestFit="1" customWidth="1"/>
    <col min="2893" max="2893" width="15.85546875" bestFit="1" customWidth="1"/>
    <col min="2894" max="2894" width="10.28515625" bestFit="1" customWidth="1"/>
    <col min="2895" max="2895" width="14.85546875" bestFit="1" customWidth="1"/>
    <col min="2896" max="2896" width="13.140625" bestFit="1" customWidth="1"/>
    <col min="2897" max="2897" width="16" bestFit="1" customWidth="1"/>
    <col min="2898" max="2898" width="10.42578125" bestFit="1" customWidth="1"/>
    <col min="2899" max="2899" width="12.5703125" bestFit="1" customWidth="1"/>
    <col min="2900" max="2900" width="16" bestFit="1" customWidth="1"/>
    <col min="2901" max="2901" width="10.42578125" bestFit="1" customWidth="1"/>
    <col min="2902" max="2902" width="14.85546875" bestFit="1" customWidth="1"/>
    <col min="2903" max="2903" width="16" bestFit="1" customWidth="1"/>
    <col min="2904" max="2904" width="10.42578125" bestFit="1" customWidth="1"/>
    <col min="2905" max="2905" width="10.7109375" bestFit="1" customWidth="1"/>
    <col min="2906" max="2906" width="15" bestFit="1" customWidth="1"/>
    <col min="2907" max="2907" width="10.140625" bestFit="1" customWidth="1"/>
    <col min="2908" max="2908" width="14.85546875" bestFit="1" customWidth="1"/>
    <col min="2909" max="2909" width="15.140625" bestFit="1" customWidth="1"/>
    <col min="2910" max="2910" width="10.28515625" bestFit="1" customWidth="1"/>
    <col min="2911" max="2911" width="16" bestFit="1" customWidth="1"/>
    <col min="2912" max="2912" width="14.140625" bestFit="1" customWidth="1"/>
    <col min="2913" max="2913" width="15.140625" bestFit="1" customWidth="1"/>
    <col min="2914" max="2914" width="10.28515625" bestFit="1" customWidth="1"/>
    <col min="2915" max="2915" width="16" bestFit="1" customWidth="1"/>
    <col min="2916" max="2916" width="15.140625" bestFit="1" customWidth="1"/>
    <col min="2917" max="2917" width="10.28515625" bestFit="1" customWidth="1"/>
    <col min="2918" max="2918" width="16" bestFit="1" customWidth="1"/>
    <col min="2919" max="2919" width="15.140625" bestFit="1" customWidth="1"/>
    <col min="2920" max="2920" width="10.28515625" bestFit="1" customWidth="1"/>
    <col min="2921" max="2921" width="11.7109375" bestFit="1" customWidth="1"/>
    <col min="2922" max="2922" width="15.85546875" bestFit="1" customWidth="1"/>
    <col min="2923" max="2923" width="11" bestFit="1" customWidth="1"/>
    <col min="2924" max="2924" width="13.140625" bestFit="1" customWidth="1"/>
    <col min="2925" max="2925" width="15.85546875" bestFit="1" customWidth="1"/>
    <col min="2926" max="2926" width="11" bestFit="1" customWidth="1"/>
    <col min="2927" max="2927" width="14.85546875" bestFit="1" customWidth="1"/>
    <col min="2928" max="2928" width="15.85546875" bestFit="1" customWidth="1"/>
    <col min="2929" max="2929" width="11" bestFit="1" customWidth="1"/>
    <col min="2930" max="2930" width="12.5703125" bestFit="1" customWidth="1"/>
    <col min="2931" max="2931" width="10.140625" bestFit="1" customWidth="1"/>
    <col min="2932" max="2932" width="15.85546875" bestFit="1" customWidth="1"/>
    <col min="2933" max="2933" width="11" bestFit="1" customWidth="1"/>
    <col min="2934" max="2934" width="16" bestFit="1" customWidth="1"/>
    <col min="2935" max="2935" width="15.85546875" bestFit="1" customWidth="1"/>
    <col min="2936" max="2936" width="11" bestFit="1" customWidth="1"/>
    <col min="2937" max="2937" width="14.140625" bestFit="1" customWidth="1"/>
    <col min="2938" max="2938" width="16" bestFit="1" customWidth="1"/>
    <col min="2939" max="2939" width="11.140625" bestFit="1" customWidth="1"/>
    <col min="2940" max="2940" width="14.85546875" bestFit="1" customWidth="1"/>
    <col min="2941" max="2941" width="12.7109375" bestFit="1" customWidth="1"/>
    <col min="2942" max="2942" width="16" bestFit="1" customWidth="1"/>
    <col min="2943" max="2943" width="11.140625" bestFit="1" customWidth="1"/>
    <col min="2944" max="2945" width="16" bestFit="1" customWidth="1"/>
    <col min="2946" max="2946" width="11.140625" bestFit="1" customWidth="1"/>
    <col min="2947" max="2947" width="13.140625" bestFit="1" customWidth="1"/>
    <col min="2948" max="2948" width="16" bestFit="1" customWidth="1"/>
    <col min="2949" max="2949" width="11.140625" bestFit="1" customWidth="1"/>
    <col min="2950" max="2950" width="14.140625" bestFit="1" customWidth="1"/>
    <col min="2951" max="2951" width="16" bestFit="1" customWidth="1"/>
    <col min="2952" max="2952" width="11.140625" bestFit="1" customWidth="1"/>
    <col min="2953" max="2953" width="12.5703125" bestFit="1" customWidth="1"/>
    <col min="2954" max="2954" width="16" bestFit="1" customWidth="1"/>
    <col min="2955" max="2955" width="11.140625" bestFit="1" customWidth="1"/>
    <col min="2956" max="2956" width="14.85546875" bestFit="1" customWidth="1"/>
    <col min="2957" max="2957" width="14.140625" bestFit="1" customWidth="1"/>
    <col min="2958" max="2958" width="16" bestFit="1" customWidth="1"/>
    <col min="2959" max="2959" width="11.140625" bestFit="1" customWidth="1"/>
    <col min="2960" max="2960" width="16" bestFit="1" customWidth="1"/>
    <col min="2961" max="2961" width="10.140625" bestFit="1" customWidth="1"/>
    <col min="2962" max="2962" width="15.85546875" bestFit="1" customWidth="1"/>
    <col min="2963" max="2963" width="11" bestFit="1" customWidth="1"/>
    <col min="2964" max="2964" width="14.85546875" bestFit="1" customWidth="1"/>
    <col min="2965" max="2965" width="15.140625" bestFit="1" customWidth="1"/>
    <col min="2966" max="2966" width="9.7109375" bestFit="1" customWidth="1"/>
    <col min="2967" max="2967" width="13.140625" bestFit="1" customWidth="1"/>
    <col min="2968" max="2968" width="15.140625" bestFit="1" customWidth="1"/>
    <col min="2969" max="2969" width="9.7109375" bestFit="1" customWidth="1"/>
    <col min="2970" max="2970" width="16" bestFit="1" customWidth="1"/>
    <col min="2971" max="2971" width="12.5703125" bestFit="1" customWidth="1"/>
    <col min="2972" max="2972" width="15.140625" bestFit="1" customWidth="1"/>
    <col min="2973" max="2973" width="9.7109375" bestFit="1" customWidth="1"/>
    <col min="2974" max="2974" width="14.85546875" bestFit="1" customWidth="1"/>
    <col min="2975" max="2975" width="15.140625" bestFit="1" customWidth="1"/>
    <col min="2976" max="2976" width="9.7109375" bestFit="1" customWidth="1"/>
    <col min="2977" max="2977" width="12.5703125" bestFit="1" customWidth="1"/>
    <col min="2978" max="2978" width="14.85546875" bestFit="1" customWidth="1"/>
    <col min="2979" max="2979" width="15.140625" bestFit="1" customWidth="1"/>
    <col min="2980" max="2980" width="9.7109375" bestFit="1" customWidth="1"/>
    <col min="2981" max="2981" width="14.140625" bestFit="1" customWidth="1"/>
    <col min="2982" max="2982" width="15.140625" bestFit="1" customWidth="1"/>
    <col min="2983" max="2983" width="9.7109375" bestFit="1" customWidth="1"/>
    <col min="2984" max="2984" width="12.5703125" bestFit="1" customWidth="1"/>
    <col min="2985" max="2985" width="14.85546875" bestFit="1" customWidth="1"/>
    <col min="2986" max="2986" width="15.140625" bestFit="1" customWidth="1"/>
    <col min="2987" max="2987" width="9.7109375" bestFit="1" customWidth="1"/>
    <col min="2988" max="2988" width="14.85546875" bestFit="1" customWidth="1"/>
    <col min="2989" max="2989" width="15.85546875" bestFit="1" customWidth="1"/>
    <col min="2990" max="2990" width="10.42578125" bestFit="1" customWidth="1"/>
    <col min="2991" max="2991" width="12.5703125" bestFit="1" customWidth="1"/>
    <col min="2992" max="2992" width="14.85546875" bestFit="1" customWidth="1"/>
    <col min="2993" max="2993" width="15.85546875" bestFit="1" customWidth="1"/>
    <col min="2994" max="2994" width="10.42578125" bestFit="1" customWidth="1"/>
    <col min="2995" max="2995" width="14.85546875" bestFit="1" customWidth="1"/>
    <col min="2996" max="2996" width="15.85546875" bestFit="1" customWidth="1"/>
    <col min="2997" max="2997" width="10.42578125" bestFit="1" customWidth="1"/>
    <col min="2998" max="2998" width="12.5703125" bestFit="1" customWidth="1"/>
    <col min="2999" max="2999" width="15.85546875" bestFit="1" customWidth="1"/>
    <col min="3000" max="3000" width="10.42578125" bestFit="1" customWidth="1"/>
    <col min="3001" max="3001" width="12.5703125" bestFit="1" customWidth="1"/>
    <col min="3002" max="3002" width="15.85546875" bestFit="1" customWidth="1"/>
    <col min="3003" max="3003" width="10.42578125" bestFit="1" customWidth="1"/>
    <col min="3004" max="3004" width="16" bestFit="1" customWidth="1"/>
    <col min="3005" max="3005" width="14.140625" bestFit="1" customWidth="1"/>
    <col min="3006" max="3006" width="15.85546875" bestFit="1" customWidth="1"/>
    <col min="3007" max="3007" width="10.42578125" bestFit="1" customWidth="1"/>
    <col min="3008" max="3008" width="12.5703125" bestFit="1" customWidth="1"/>
    <col min="3009" max="3009" width="14.140625" bestFit="1" customWidth="1"/>
    <col min="3010" max="3010" width="16" bestFit="1" customWidth="1"/>
    <col min="3011" max="3011" width="10.5703125" bestFit="1" customWidth="1"/>
    <col min="3012" max="3012" width="14.85546875" bestFit="1" customWidth="1"/>
    <col min="3013" max="3013" width="15.85546875" bestFit="1" customWidth="1"/>
    <col min="3014" max="3014" width="10.42578125" bestFit="1" customWidth="1"/>
    <col min="3015" max="3015" width="11.7109375" bestFit="1" customWidth="1"/>
    <col min="3016" max="3016" width="16" bestFit="1" customWidth="1"/>
    <col min="3017" max="3017" width="10.5703125" bestFit="1" customWidth="1"/>
    <col min="3018" max="3018" width="13.140625" bestFit="1" customWidth="1"/>
    <col min="3019" max="3019" width="16" bestFit="1" customWidth="1"/>
    <col min="3020" max="3020" width="10.5703125" bestFit="1" customWidth="1"/>
    <col min="3021" max="3021" width="16" bestFit="1" customWidth="1"/>
    <col min="3022" max="3022" width="11.7109375" bestFit="1" customWidth="1"/>
    <col min="3023" max="3023" width="16" bestFit="1" customWidth="1"/>
    <col min="3024" max="3024" width="10.5703125" bestFit="1" customWidth="1"/>
    <col min="3025" max="3025" width="12.5703125" bestFit="1" customWidth="1"/>
    <col min="3026" max="3026" width="13.140625" bestFit="1" customWidth="1"/>
    <col min="3027" max="3027" width="11.7109375" bestFit="1" customWidth="1"/>
    <col min="3028" max="3028" width="16" bestFit="1" customWidth="1"/>
    <col min="3029" max="3029" width="10.5703125" bestFit="1" customWidth="1"/>
    <col min="3030" max="3030" width="13.140625" bestFit="1" customWidth="1"/>
    <col min="3031" max="3031" width="15" bestFit="1" customWidth="1"/>
    <col min="3032" max="3032" width="10.28515625" bestFit="1" customWidth="1"/>
    <col min="3033" max="3033" width="16" bestFit="1" customWidth="1"/>
    <col min="3034" max="3034" width="14.85546875" bestFit="1" customWidth="1"/>
    <col min="3035" max="3035" width="15.140625" bestFit="1" customWidth="1"/>
    <col min="3036" max="3036" width="10.42578125" bestFit="1" customWidth="1"/>
    <col min="3037" max="3037" width="14.85546875" bestFit="1" customWidth="1"/>
    <col min="3038" max="3038" width="15.140625" bestFit="1" customWidth="1"/>
    <col min="3039" max="3039" width="10.42578125" bestFit="1" customWidth="1"/>
    <col min="3040" max="3040" width="12.5703125" bestFit="1" customWidth="1"/>
    <col min="3041" max="3041" width="15.7109375" bestFit="1" customWidth="1"/>
    <col min="3042" max="3042" width="11" bestFit="1" customWidth="1"/>
    <col min="3043" max="3043" width="12.5703125" bestFit="1" customWidth="1"/>
    <col min="3044" max="3044" width="14.85546875" bestFit="1" customWidth="1"/>
    <col min="3045" max="3045" width="12.7109375" bestFit="1" customWidth="1"/>
    <col min="3046" max="3046" width="15.85546875" bestFit="1" customWidth="1"/>
    <col min="3047" max="3047" width="11.140625" bestFit="1" customWidth="1"/>
    <col min="3048" max="3048" width="16" bestFit="1" customWidth="1"/>
    <col min="3049" max="3049" width="15.85546875" bestFit="1" customWidth="1"/>
    <col min="3050" max="3050" width="11.140625" bestFit="1" customWidth="1"/>
    <col min="3051" max="3051" width="11.5703125" bestFit="1" customWidth="1"/>
    <col min="3052" max="3052" width="15.85546875" bestFit="1" customWidth="1"/>
    <col min="3053" max="3053" width="11.140625" bestFit="1" customWidth="1"/>
    <col min="3054" max="3054" width="16" bestFit="1" customWidth="1"/>
    <col min="3055" max="3055" width="15.85546875" bestFit="1" customWidth="1"/>
    <col min="3056" max="3056" width="11.140625" bestFit="1" customWidth="1"/>
    <col min="3057" max="3057" width="14.85546875" bestFit="1" customWidth="1"/>
    <col min="3058" max="3058" width="15.85546875" bestFit="1" customWidth="1"/>
    <col min="3059" max="3059" width="11.140625" bestFit="1" customWidth="1"/>
    <col min="3060" max="3060" width="12.5703125" bestFit="1" customWidth="1"/>
    <col min="3061" max="3061" width="15.85546875" bestFit="1" customWidth="1"/>
    <col min="3062" max="3062" width="11.140625" bestFit="1" customWidth="1"/>
    <col min="3063" max="3063" width="12.5703125" bestFit="1" customWidth="1"/>
    <col min="3064" max="3064" width="14.140625" bestFit="1" customWidth="1"/>
    <col min="3065" max="3065" width="11.7109375" bestFit="1" customWidth="1"/>
    <col min="3066" max="3066" width="10.140625" bestFit="1" customWidth="1"/>
    <col min="3067" max="3067" width="16" bestFit="1" customWidth="1"/>
    <col min="3068" max="3068" width="11.28515625" bestFit="1" customWidth="1"/>
    <col min="3069" max="3069" width="14.85546875" bestFit="1" customWidth="1"/>
    <col min="3070" max="3070" width="16" bestFit="1" customWidth="1"/>
    <col min="3071" max="3071" width="11.28515625" bestFit="1" customWidth="1"/>
    <col min="3072" max="3072" width="14.85546875" bestFit="1" customWidth="1"/>
    <col min="3073" max="3073" width="14.140625" bestFit="1" customWidth="1"/>
    <col min="3074" max="3074" width="16" bestFit="1" customWidth="1"/>
    <col min="3075" max="3075" width="11.28515625" bestFit="1" customWidth="1"/>
    <col min="3076" max="3076" width="14.85546875" bestFit="1" customWidth="1"/>
    <col min="3077" max="3077" width="14.140625" bestFit="1" customWidth="1"/>
    <col min="3078" max="3078" width="16" bestFit="1" customWidth="1"/>
    <col min="3079" max="3079" width="11.28515625" bestFit="1" customWidth="1"/>
    <col min="3080" max="3081" width="16" bestFit="1" customWidth="1"/>
    <col min="3082" max="3082" width="11.28515625" bestFit="1" customWidth="1"/>
    <col min="3083" max="3084" width="16" bestFit="1" customWidth="1"/>
    <col min="3085" max="3085" width="11.28515625" bestFit="1" customWidth="1"/>
    <col min="3086" max="3086" width="12.5703125" bestFit="1" customWidth="1"/>
    <col min="3087" max="3087" width="14.85546875" bestFit="1" customWidth="1"/>
    <col min="3088" max="3088" width="10.140625" bestFit="1" customWidth="1"/>
    <col min="3089" max="3089" width="16" bestFit="1" customWidth="1"/>
    <col min="3090" max="3090" width="11.28515625" bestFit="1" customWidth="1"/>
    <col min="3091" max="3091" width="11.7109375" bestFit="1" customWidth="1"/>
    <col min="3092" max="3092" width="16" bestFit="1" customWidth="1"/>
    <col min="3093" max="3093" width="11.28515625" bestFit="1" customWidth="1"/>
    <col min="3094" max="3094" width="12.5703125" bestFit="1" customWidth="1"/>
    <col min="3095" max="3095" width="15" bestFit="1" customWidth="1"/>
    <col min="3096" max="3096" width="9.5703125" bestFit="1" customWidth="1"/>
    <col min="3097" max="3097" width="12.5703125" bestFit="1" customWidth="1"/>
    <col min="3098" max="3098" width="15.140625" bestFit="1" customWidth="1"/>
    <col min="3099" max="3099" width="9.7109375" bestFit="1" customWidth="1"/>
    <col min="3100" max="3100" width="10.85546875" bestFit="1" customWidth="1"/>
    <col min="3101" max="3101" width="15.140625" bestFit="1" customWidth="1"/>
    <col min="3102" max="3102" width="9.7109375" bestFit="1" customWidth="1"/>
    <col min="3103" max="3103" width="14.140625" bestFit="1" customWidth="1"/>
    <col min="3104" max="3104" width="15.140625" bestFit="1" customWidth="1"/>
    <col min="3105" max="3105" width="9.7109375" bestFit="1" customWidth="1"/>
    <col min="3106" max="3106" width="14.85546875" bestFit="1" customWidth="1"/>
    <col min="3107" max="3107" width="14.140625" bestFit="1" customWidth="1"/>
    <col min="3108" max="3108" width="15.140625" bestFit="1" customWidth="1"/>
    <col min="3109" max="3109" width="9.7109375" bestFit="1" customWidth="1"/>
    <col min="3110" max="3110" width="11.7109375" bestFit="1" customWidth="1"/>
    <col min="3111" max="3111" width="15.140625" bestFit="1" customWidth="1"/>
    <col min="3112" max="3112" width="9.7109375" bestFit="1" customWidth="1"/>
    <col min="3113" max="3113" width="14.140625" bestFit="1" customWidth="1"/>
    <col min="3114" max="3114" width="15.140625" bestFit="1" customWidth="1"/>
    <col min="3115" max="3115" width="9.7109375" bestFit="1" customWidth="1"/>
    <col min="3116" max="3116" width="11.7109375" bestFit="1" customWidth="1"/>
    <col min="3117" max="3117" width="15.7109375" bestFit="1" customWidth="1"/>
    <col min="3118" max="3118" width="10.28515625" bestFit="1" customWidth="1"/>
    <col min="3119" max="3119" width="16" bestFit="1" customWidth="1"/>
    <col min="3120" max="3120" width="11.7109375" bestFit="1" customWidth="1"/>
    <col min="3121" max="3121" width="15.85546875" bestFit="1" customWidth="1"/>
    <col min="3122" max="3122" width="10.42578125" bestFit="1" customWidth="1"/>
    <col min="3123" max="3124" width="14.85546875" bestFit="1" customWidth="1"/>
    <col min="3125" max="3125" width="14.140625" bestFit="1" customWidth="1"/>
    <col min="3126" max="3126" width="15.85546875" bestFit="1" customWidth="1"/>
    <col min="3127" max="3127" width="10.42578125" bestFit="1" customWidth="1"/>
    <col min="3128" max="3128" width="14.85546875" bestFit="1" customWidth="1"/>
    <col min="3129" max="3129" width="16" bestFit="1" customWidth="1"/>
    <col min="3130" max="3130" width="10.5703125" bestFit="1" customWidth="1"/>
    <col min="3131" max="3131" width="12.5703125" bestFit="1" customWidth="1"/>
    <col min="3132" max="3132" width="11.7109375" bestFit="1" customWidth="1"/>
    <col min="3133" max="3133" width="16" bestFit="1" customWidth="1"/>
    <col min="3134" max="3134" width="10.5703125" bestFit="1" customWidth="1"/>
    <col min="3135" max="3135" width="12.5703125" bestFit="1" customWidth="1"/>
    <col min="3136" max="3136" width="16" bestFit="1" customWidth="1"/>
    <col min="3137" max="3137" width="10.5703125" bestFit="1" customWidth="1"/>
    <col min="3138" max="3138" width="12.5703125" bestFit="1" customWidth="1"/>
    <col min="3139" max="3139" width="16" bestFit="1" customWidth="1"/>
    <col min="3140" max="3140" width="10.5703125" bestFit="1" customWidth="1"/>
    <col min="3141" max="3141" width="11.7109375" bestFit="1" customWidth="1"/>
    <col min="3142" max="3142" width="16" bestFit="1" customWidth="1"/>
    <col min="3143" max="3143" width="10.5703125" bestFit="1" customWidth="1"/>
    <col min="3144" max="3144" width="11.7109375" bestFit="1" customWidth="1"/>
    <col min="3145" max="3145" width="16" bestFit="1" customWidth="1"/>
    <col min="3146" max="3146" width="10.5703125" bestFit="1" customWidth="1"/>
    <col min="3147" max="3148" width="14.85546875" bestFit="1" customWidth="1"/>
    <col min="3149" max="3149" width="10.140625" bestFit="1" customWidth="1"/>
    <col min="3150" max="3150" width="15.140625" bestFit="1" customWidth="1"/>
    <col min="3151" max="3151" width="9.28515625" bestFit="1" customWidth="1"/>
    <col min="3152" max="3152" width="12.5703125" bestFit="1" customWidth="1"/>
    <col min="3153" max="3153" width="14.140625" bestFit="1" customWidth="1"/>
    <col min="3154" max="3154" width="15.140625" bestFit="1" customWidth="1"/>
    <col min="3155" max="3155" width="9.28515625" bestFit="1" customWidth="1"/>
    <col min="3156" max="3156" width="16" bestFit="1" customWidth="1"/>
    <col min="3157" max="3157" width="15.85546875" bestFit="1" customWidth="1"/>
    <col min="3158" max="3158" width="10" bestFit="1" customWidth="1"/>
    <col min="3159" max="3159" width="14.140625" bestFit="1" customWidth="1"/>
    <col min="3160" max="3160" width="15.85546875" bestFit="1" customWidth="1"/>
    <col min="3161" max="3161" width="10" bestFit="1" customWidth="1"/>
    <col min="3162" max="3162" width="16" bestFit="1" customWidth="1"/>
    <col min="3163" max="3163" width="10.140625" bestFit="1" customWidth="1"/>
    <col min="3164" max="3164" width="15.85546875" bestFit="1" customWidth="1"/>
    <col min="3165" max="3165" width="10" bestFit="1" customWidth="1"/>
    <col min="3166" max="3166" width="16" bestFit="1" customWidth="1"/>
    <col min="3167" max="3167" width="10.140625" bestFit="1" customWidth="1"/>
    <col min="3168" max="3168" width="15.85546875" bestFit="1" customWidth="1"/>
    <col min="3169" max="3169" width="10" bestFit="1" customWidth="1"/>
    <col min="3170" max="3170" width="14.85546875" bestFit="1" customWidth="1"/>
    <col min="3171" max="3171" width="15.85546875" bestFit="1" customWidth="1"/>
    <col min="3172" max="3172" width="10" bestFit="1" customWidth="1"/>
    <col min="3173" max="3173" width="14.85546875" bestFit="1" customWidth="1"/>
    <col min="3174" max="3174" width="15.85546875" bestFit="1" customWidth="1"/>
    <col min="3175" max="3175" width="10" bestFit="1" customWidth="1"/>
    <col min="3176" max="3176" width="11.5703125" bestFit="1" customWidth="1"/>
    <col min="3177" max="3177" width="15.85546875" bestFit="1" customWidth="1"/>
    <col min="3178" max="3178" width="10" bestFit="1" customWidth="1"/>
    <col min="3179" max="3179" width="12.5703125" bestFit="1" customWidth="1"/>
    <col min="3180" max="3180" width="16" bestFit="1" customWidth="1"/>
    <col min="3181" max="3181" width="10.140625" bestFit="1" customWidth="1"/>
    <col min="3182" max="3182" width="14.140625" bestFit="1" customWidth="1"/>
    <col min="3183" max="3183" width="11.7109375" bestFit="1" customWidth="1"/>
    <col min="3184" max="3184" width="15.85546875" bestFit="1" customWidth="1"/>
    <col min="3185" max="3185" width="10" bestFit="1" customWidth="1"/>
    <col min="3186" max="3186" width="12.5703125" bestFit="1" customWidth="1"/>
    <col min="3187" max="3187" width="12.7109375" bestFit="1" customWidth="1"/>
    <col min="3188" max="3188" width="16" bestFit="1" customWidth="1"/>
    <col min="3189" max="3189" width="10.140625" bestFit="1" customWidth="1"/>
    <col min="3190" max="3190" width="11.7109375" bestFit="1" customWidth="1"/>
    <col min="3191" max="3191" width="16" bestFit="1" customWidth="1"/>
    <col min="3192" max="3192" width="10.140625" bestFit="1" customWidth="1"/>
    <col min="3193" max="3193" width="14.85546875" bestFit="1" customWidth="1"/>
    <col min="3194" max="3194" width="16" bestFit="1" customWidth="1"/>
    <col min="3195" max="3195" width="10.140625" bestFit="1" customWidth="1"/>
    <col min="3196" max="3196" width="13.140625" bestFit="1" customWidth="1"/>
    <col min="3197" max="3197" width="16" bestFit="1" customWidth="1"/>
    <col min="3198" max="3198" width="10.140625" bestFit="1" customWidth="1"/>
    <col min="3199" max="3199" width="16" bestFit="1" customWidth="1"/>
    <col min="3200" max="3200" width="14.85546875" bestFit="1" customWidth="1"/>
    <col min="3201" max="3201" width="15.85546875" bestFit="1" customWidth="1"/>
    <col min="3202" max="3202" width="10" bestFit="1" customWidth="1"/>
    <col min="3203" max="3204" width="14.85546875" bestFit="1" customWidth="1"/>
    <col min="3205" max="3205" width="13.140625" bestFit="1" customWidth="1"/>
    <col min="3206" max="3206" width="15.140625" bestFit="1" customWidth="1"/>
    <col min="3207" max="3207" width="10" bestFit="1" customWidth="1"/>
    <col min="3208" max="3208" width="12.5703125" bestFit="1" customWidth="1"/>
    <col min="3209" max="3209" width="15.140625" bestFit="1" customWidth="1"/>
    <col min="3210" max="3210" width="10" bestFit="1" customWidth="1"/>
    <col min="3211" max="3211" width="12.5703125" bestFit="1" customWidth="1"/>
    <col min="3212" max="3212" width="15.140625" bestFit="1" customWidth="1"/>
    <col min="3213" max="3213" width="10" bestFit="1" customWidth="1"/>
    <col min="3214" max="3214" width="13.140625" bestFit="1" customWidth="1"/>
    <col min="3215" max="3215" width="15.140625" bestFit="1" customWidth="1"/>
    <col min="3216" max="3216" width="10" bestFit="1" customWidth="1"/>
    <col min="3217" max="3217" width="12.5703125" bestFit="1" customWidth="1"/>
    <col min="3218" max="3218" width="15.140625" bestFit="1" customWidth="1"/>
    <col min="3219" max="3219" width="10" bestFit="1" customWidth="1"/>
    <col min="3220" max="3220" width="12.5703125" bestFit="1" customWidth="1"/>
    <col min="3221" max="3221" width="15.85546875" bestFit="1" customWidth="1"/>
    <col min="3222" max="3222" width="10.7109375" bestFit="1" customWidth="1"/>
    <col min="3223" max="3223" width="14.85546875" bestFit="1" customWidth="1"/>
    <col min="3224" max="3224" width="13.140625" bestFit="1" customWidth="1"/>
    <col min="3225" max="3225" width="15.85546875" bestFit="1" customWidth="1"/>
    <col min="3226" max="3226" width="10.7109375" bestFit="1" customWidth="1"/>
    <col min="3227" max="3227" width="12.5703125" bestFit="1" customWidth="1"/>
    <col min="3228" max="3228" width="15.85546875" bestFit="1" customWidth="1"/>
    <col min="3229" max="3229" width="10.7109375" bestFit="1" customWidth="1"/>
    <col min="3230" max="3230" width="14.85546875" bestFit="1" customWidth="1"/>
    <col min="3231" max="3231" width="15.85546875" bestFit="1" customWidth="1"/>
    <col min="3232" max="3232" width="10.7109375" bestFit="1" customWidth="1"/>
    <col min="3233" max="3233" width="12.5703125" bestFit="1" customWidth="1"/>
    <col min="3234" max="3234" width="14.85546875" bestFit="1" customWidth="1"/>
    <col min="3235" max="3235" width="14.140625" bestFit="1" customWidth="1"/>
    <col min="3236" max="3236" width="15.85546875" bestFit="1" customWidth="1"/>
    <col min="3237" max="3237" width="10.7109375" bestFit="1" customWidth="1"/>
    <col min="3238" max="3238" width="16" bestFit="1" customWidth="1"/>
    <col min="3239" max="3239" width="15.85546875" bestFit="1" customWidth="1"/>
    <col min="3240" max="3240" width="10.7109375" bestFit="1" customWidth="1"/>
    <col min="3241" max="3241" width="14.85546875" bestFit="1" customWidth="1"/>
    <col min="3242" max="3242" width="11.7109375" bestFit="1" customWidth="1"/>
    <col min="3243" max="3243" width="16" bestFit="1" customWidth="1"/>
    <col min="3244" max="3244" width="10.85546875" bestFit="1" customWidth="1"/>
    <col min="3245" max="3245" width="16" bestFit="1" customWidth="1"/>
    <col min="3246" max="3246" width="14.85546875" bestFit="1" customWidth="1"/>
    <col min="3247" max="3247" width="16" bestFit="1" customWidth="1"/>
    <col min="3248" max="3248" width="10.85546875" bestFit="1" customWidth="1"/>
    <col min="3249" max="3250" width="14.85546875" bestFit="1" customWidth="1"/>
    <col min="3251" max="3251" width="16" bestFit="1" customWidth="1"/>
    <col min="3252" max="3252" width="10.85546875" bestFit="1" customWidth="1"/>
    <col min="3253" max="3253" width="14.140625" bestFit="1" customWidth="1"/>
    <col min="3254" max="3254" width="16" bestFit="1" customWidth="1"/>
    <col min="3255" max="3255" width="10.85546875" bestFit="1" customWidth="1"/>
    <col min="3256" max="3256" width="12.5703125" bestFit="1" customWidth="1"/>
    <col min="3257" max="3257" width="12.7109375" bestFit="1" customWidth="1"/>
    <col min="3258" max="3258" width="16" bestFit="1" customWidth="1"/>
    <col min="3259" max="3259" width="10.85546875" bestFit="1" customWidth="1"/>
    <col min="3260" max="3260" width="14.85546875" bestFit="1" customWidth="1"/>
    <col min="3261" max="3261" width="15" bestFit="1" customWidth="1"/>
    <col min="3262" max="3262" width="9.5703125" bestFit="1" customWidth="1"/>
    <col min="3263" max="3263" width="12.5703125" bestFit="1" customWidth="1"/>
    <col min="3264" max="3264" width="14.85546875" bestFit="1" customWidth="1"/>
    <col min="3265" max="3265" width="15.140625" bestFit="1" customWidth="1"/>
    <col min="3266" max="3266" width="9.7109375" bestFit="1" customWidth="1"/>
    <col min="3267" max="3267" width="12.7109375" bestFit="1" customWidth="1"/>
    <col min="3268" max="3268" width="15.140625" bestFit="1" customWidth="1"/>
    <col min="3269" max="3269" width="9.7109375" bestFit="1" customWidth="1"/>
    <col min="3270" max="3270" width="16" bestFit="1" customWidth="1"/>
    <col min="3271" max="3271" width="10.140625" bestFit="1" customWidth="1"/>
    <col min="3272" max="3272" width="15.140625" bestFit="1" customWidth="1"/>
    <col min="3273" max="3273" width="9.7109375" bestFit="1" customWidth="1"/>
    <col min="3274" max="3274" width="12.5703125" bestFit="1" customWidth="1"/>
    <col min="3275" max="3275" width="15.140625" bestFit="1" customWidth="1"/>
    <col min="3276" max="3276" width="9.7109375" bestFit="1" customWidth="1"/>
    <col min="3277" max="3277" width="16" bestFit="1" customWidth="1"/>
    <col min="3278" max="3278" width="14.85546875" bestFit="1" customWidth="1"/>
    <col min="3279" max="3279" width="15.140625" bestFit="1" customWidth="1"/>
    <col min="3280" max="3280" width="9.7109375" bestFit="1" customWidth="1"/>
    <col min="3281" max="3281" width="14.85546875" bestFit="1" customWidth="1"/>
    <col min="3282" max="3282" width="15.85546875" bestFit="1" customWidth="1"/>
    <col min="3283" max="3283" width="10.42578125" bestFit="1" customWidth="1"/>
    <col min="3284" max="3284" width="16" bestFit="1" customWidth="1"/>
    <col min="3285" max="3285" width="15.85546875" bestFit="1" customWidth="1"/>
    <col min="3286" max="3286" width="10.42578125" bestFit="1" customWidth="1"/>
    <col min="3287" max="3287" width="12.5703125" bestFit="1" customWidth="1"/>
    <col min="3288" max="3288" width="15.85546875" bestFit="1" customWidth="1"/>
    <col min="3289" max="3289" width="10.42578125" bestFit="1" customWidth="1"/>
    <col min="3290" max="3290" width="14.140625" bestFit="1" customWidth="1"/>
    <col min="3291" max="3291" width="15.85546875" bestFit="1" customWidth="1"/>
    <col min="3292" max="3292" width="10.42578125" bestFit="1" customWidth="1"/>
    <col min="3293" max="3293" width="12.5703125" bestFit="1" customWidth="1"/>
    <col min="3294" max="3294" width="15.85546875" bestFit="1" customWidth="1"/>
    <col min="3295" max="3295" width="10.42578125" bestFit="1" customWidth="1"/>
    <col min="3296" max="3296" width="14.85546875" bestFit="1" customWidth="1"/>
    <col min="3297" max="3297" width="15.85546875" bestFit="1" customWidth="1"/>
    <col min="3298" max="3298" width="10.42578125" bestFit="1" customWidth="1"/>
    <col min="3299" max="3299" width="14.140625" bestFit="1" customWidth="1"/>
    <col min="3300" max="3300" width="16" bestFit="1" customWidth="1"/>
    <col min="3301" max="3301" width="10.5703125" bestFit="1" customWidth="1"/>
    <col min="3302" max="3302" width="13.140625" bestFit="1" customWidth="1"/>
    <col min="3303" max="3303" width="15.85546875" bestFit="1" customWidth="1"/>
    <col min="3304" max="3304" width="10.42578125" bestFit="1" customWidth="1"/>
    <col min="3305" max="3305" width="12.5703125" bestFit="1" customWidth="1"/>
    <col min="3306" max="3306" width="16" bestFit="1" customWidth="1"/>
    <col min="3307" max="3307" width="10.5703125" bestFit="1" customWidth="1"/>
    <col min="3308" max="3308" width="13.140625" bestFit="1" customWidth="1"/>
    <col min="3309" max="3309" width="16" bestFit="1" customWidth="1"/>
    <col min="3310" max="3310" width="10.5703125" bestFit="1" customWidth="1"/>
    <col min="3311" max="3311" width="14.85546875" bestFit="1" customWidth="1"/>
    <col min="3312" max="3312" width="16" bestFit="1" customWidth="1"/>
    <col min="3313" max="3313" width="10.5703125" bestFit="1" customWidth="1"/>
    <col min="3314" max="3314" width="13.140625" bestFit="1" customWidth="1"/>
    <col min="3315" max="3315" width="12.7109375" bestFit="1" customWidth="1"/>
    <col min="3316" max="3316" width="16" bestFit="1" customWidth="1"/>
    <col min="3317" max="3317" width="10.5703125" bestFit="1" customWidth="1"/>
    <col min="3318" max="3318" width="11.7109375" bestFit="1" customWidth="1"/>
    <col min="3319" max="3319" width="16" bestFit="1" customWidth="1"/>
    <col min="3320" max="3320" width="10.5703125" bestFit="1" customWidth="1"/>
    <col min="3321" max="3321" width="14.140625" bestFit="1" customWidth="1"/>
    <col min="3322" max="3322" width="16" bestFit="1" customWidth="1"/>
    <col min="3323" max="3323" width="10.5703125" bestFit="1" customWidth="1"/>
    <col min="3324" max="3324" width="14.85546875" bestFit="1" customWidth="1"/>
    <col min="3325" max="3325" width="16" bestFit="1" customWidth="1"/>
    <col min="3326" max="3326" width="10.5703125" bestFit="1" customWidth="1"/>
    <col min="3327" max="3327" width="12.5703125" bestFit="1" customWidth="1"/>
    <col min="3328" max="3328" width="16" bestFit="1" customWidth="1"/>
    <col min="3329" max="3329" width="10.5703125" bestFit="1" customWidth="1"/>
    <col min="3330" max="3330" width="12.5703125" bestFit="1" customWidth="1"/>
    <col min="3331" max="3331" width="14.85546875" bestFit="1" customWidth="1"/>
    <col min="3332" max="3332" width="9.42578125" bestFit="1" customWidth="1"/>
    <col min="3333" max="3333" width="16" bestFit="1" customWidth="1"/>
    <col min="3334" max="3334" width="15" bestFit="1" customWidth="1"/>
    <col min="3335" max="3335" width="9.5703125" bestFit="1" customWidth="1"/>
    <col min="3336" max="3336" width="16" bestFit="1" customWidth="1"/>
    <col min="3337" max="3337" width="13.140625" bestFit="1" customWidth="1"/>
    <col min="3338" max="3338" width="11.7109375" bestFit="1" customWidth="1"/>
    <col min="3339" max="3339" width="10.140625" bestFit="1" customWidth="1"/>
    <col min="3340" max="3340" width="15" bestFit="1" customWidth="1"/>
    <col min="3341" max="3341" width="9.5703125" bestFit="1" customWidth="1"/>
    <col min="3342" max="3342" width="16" bestFit="1" customWidth="1"/>
    <col min="3343" max="3343" width="15" bestFit="1" customWidth="1"/>
    <col min="3344" max="3344" width="9.5703125" bestFit="1" customWidth="1"/>
    <col min="3345" max="3345" width="13.140625" bestFit="1" customWidth="1"/>
    <col min="3346" max="3346" width="10.140625" bestFit="1" customWidth="1"/>
    <col min="3347" max="3347" width="15.7109375" bestFit="1" customWidth="1"/>
    <col min="3348" max="3348" width="10.28515625"/>
    <col min="3349" max="3349" width="14.85546875" bestFit="1" customWidth="1"/>
    <col min="3350" max="3350" width="15.7109375" bestFit="1" customWidth="1"/>
    <col min="3351" max="3351" width="10.28515625"/>
    <col min="3352" max="3352" width="14.140625" bestFit="1" customWidth="1"/>
    <col min="3353" max="3353" width="15.7109375" bestFit="1" customWidth="1"/>
    <col min="3354" max="3354" width="10.28515625"/>
    <col min="3355" max="3355" width="12.5703125" bestFit="1" customWidth="1"/>
    <col min="3356" max="3356" width="15.7109375" bestFit="1" customWidth="1"/>
    <col min="3357" max="3357" width="10.28515625"/>
    <col min="3358" max="3358" width="14.140625" bestFit="1" customWidth="1"/>
    <col min="3359" max="3359" width="15.7109375" bestFit="1" customWidth="1"/>
    <col min="3360" max="3360" width="10.28515625"/>
    <col min="3361" max="3361" width="12.5703125" bestFit="1" customWidth="1"/>
    <col min="3362" max="3362" width="15.7109375" bestFit="1" customWidth="1"/>
    <col min="3363" max="3363" width="10.28515625"/>
    <col min="3364" max="3364" width="11.7109375" bestFit="1" customWidth="1"/>
    <col min="3365" max="3365" width="15.7109375" bestFit="1" customWidth="1"/>
    <col min="3366" max="3366" width="10.28515625"/>
    <col min="3367" max="3367" width="14.85546875" bestFit="1" customWidth="1"/>
    <col min="3368" max="3368" width="15.7109375" bestFit="1" customWidth="1"/>
    <col min="3369" max="3369" width="10.28515625"/>
    <col min="3370" max="3370" width="11.7109375" bestFit="1" customWidth="1"/>
    <col min="3371" max="3371" width="15.85546875" bestFit="1" customWidth="1"/>
    <col min="3372" max="3372" width="10.42578125" bestFit="1" customWidth="1"/>
    <col min="3373" max="3373" width="16" bestFit="1" customWidth="1"/>
    <col min="3374" max="3374" width="12.5703125" bestFit="1" customWidth="1"/>
    <col min="3375" max="3375" width="14.85546875" bestFit="1" customWidth="1"/>
    <col min="3376" max="3376" width="15.7109375" bestFit="1" customWidth="1"/>
    <col min="3377" max="3377" width="10.28515625"/>
    <col min="3378" max="3378" width="14.85546875" bestFit="1" customWidth="1"/>
    <col min="3379" max="3379" width="15.85546875" bestFit="1" customWidth="1"/>
    <col min="3380" max="3380" width="10.42578125" bestFit="1" customWidth="1"/>
    <col min="3381" max="3381" width="14.85546875" bestFit="1" customWidth="1"/>
    <col min="3382" max="3382" width="13.140625" bestFit="1" customWidth="1"/>
    <col min="3383" max="3383" width="15.85546875" bestFit="1" customWidth="1"/>
    <col min="3384" max="3384" width="10.42578125" bestFit="1" customWidth="1"/>
    <col min="3385" max="3385" width="13.140625" bestFit="1" customWidth="1"/>
    <col min="3386" max="3386" width="14.7109375" bestFit="1" customWidth="1"/>
    <col min="3387" max="3387" width="9.85546875" bestFit="1" customWidth="1"/>
    <col min="3388" max="3388" width="13.140625" bestFit="1" customWidth="1"/>
    <col min="3389" max="3389" width="14.85546875" bestFit="1" customWidth="1"/>
    <col min="3390" max="3390" width="10" bestFit="1" customWidth="1"/>
    <col min="3391" max="3391" width="14.140625" bestFit="1" customWidth="1"/>
    <col min="3392" max="3392" width="14.85546875" bestFit="1" customWidth="1"/>
    <col min="3393" max="3393" width="10" bestFit="1" customWidth="1"/>
    <col min="3394" max="3394" width="14.140625" bestFit="1" customWidth="1"/>
    <col min="3395" max="3395" width="14.85546875" bestFit="1" customWidth="1"/>
    <col min="3396" max="3396" width="10" bestFit="1" customWidth="1"/>
    <col min="3397" max="3397" width="10.5703125" bestFit="1" customWidth="1"/>
    <col min="3398" max="3398" width="14.85546875" bestFit="1" customWidth="1"/>
    <col min="3399" max="3399" width="10" bestFit="1" customWidth="1"/>
    <col min="3400" max="3401" width="14.85546875" bestFit="1" customWidth="1"/>
    <col min="3402" max="3402" width="10" bestFit="1" customWidth="1"/>
    <col min="3403" max="3403" width="16" bestFit="1" customWidth="1"/>
    <col min="3404" max="3404" width="12.7109375" bestFit="1" customWidth="1"/>
    <col min="3405" max="3405" width="14.85546875" bestFit="1" customWidth="1"/>
    <col min="3406" max="3406" width="10" bestFit="1" customWidth="1"/>
    <col min="3407" max="3407" width="16" bestFit="1" customWidth="1"/>
    <col min="3408" max="3408" width="14.85546875" bestFit="1" customWidth="1"/>
    <col min="3409" max="3409" width="10" bestFit="1" customWidth="1"/>
    <col min="3410" max="3410" width="12.7109375" bestFit="1" customWidth="1"/>
    <col min="3411" max="3411" width="15.42578125" bestFit="1" customWidth="1"/>
    <col min="3412" max="3412" width="10.5703125" bestFit="1" customWidth="1"/>
    <col min="3413" max="3413" width="12.7109375" bestFit="1" customWidth="1"/>
    <col min="3414" max="3414" width="15.5703125" bestFit="1" customWidth="1"/>
    <col min="3415" max="3415" width="10.7109375" bestFit="1" customWidth="1"/>
    <col min="3416" max="3416" width="12.5703125" bestFit="1" customWidth="1"/>
    <col min="3417" max="3417" width="10.140625" bestFit="1" customWidth="1"/>
    <col min="3418" max="3418" width="15.5703125" bestFit="1" customWidth="1"/>
    <col min="3419" max="3419" width="10.7109375" bestFit="1" customWidth="1"/>
    <col min="3420" max="3420" width="16" bestFit="1" customWidth="1"/>
    <col min="3421" max="3421" width="14.85546875" bestFit="1" customWidth="1"/>
    <col min="3422" max="3422" width="15.5703125" bestFit="1" customWidth="1"/>
    <col min="3423" max="3423" width="10.7109375" bestFit="1" customWidth="1"/>
    <col min="3424" max="3424" width="16" bestFit="1" customWidth="1"/>
    <col min="3425" max="3425" width="15.5703125" bestFit="1" customWidth="1"/>
    <col min="3426" max="3426" width="10.7109375" bestFit="1" customWidth="1"/>
    <col min="3427" max="3427" width="16" bestFit="1" customWidth="1"/>
    <col min="3428" max="3428" width="14.140625" bestFit="1" customWidth="1"/>
    <col min="3429" max="3429" width="15.5703125" bestFit="1" customWidth="1"/>
    <col min="3430" max="3430" width="10.7109375" bestFit="1" customWidth="1"/>
    <col min="3431" max="3431" width="14.85546875" bestFit="1" customWidth="1"/>
    <col min="3432" max="3432" width="13.140625" bestFit="1" customWidth="1"/>
    <col min="3433" max="3433" width="15.7109375" bestFit="1" customWidth="1"/>
    <col min="3434" max="3434" width="10.85546875" bestFit="1" customWidth="1"/>
    <col min="3435" max="3435" width="14.85546875" bestFit="1" customWidth="1"/>
    <col min="3436" max="3436" width="14.140625" bestFit="1" customWidth="1"/>
    <col min="3437" max="3437" width="15.7109375" bestFit="1" customWidth="1"/>
    <col min="3438" max="3438" width="10.85546875" bestFit="1" customWidth="1"/>
    <col min="3439" max="3439" width="14.85546875" bestFit="1" customWidth="1"/>
    <col min="3440" max="3440" width="15.7109375" bestFit="1" customWidth="1"/>
    <col min="3441" max="3441" width="10.85546875" bestFit="1" customWidth="1"/>
    <col min="3442" max="3442" width="12.5703125" bestFit="1" customWidth="1"/>
    <col min="3443" max="3443" width="15.7109375" bestFit="1" customWidth="1"/>
    <col min="3444" max="3444" width="10.85546875" bestFit="1" customWidth="1"/>
    <col min="3445" max="3445" width="12.5703125" bestFit="1" customWidth="1"/>
    <col min="3446" max="3446" width="10.140625" bestFit="1" customWidth="1"/>
    <col min="3447" max="3447" width="15.7109375" bestFit="1" customWidth="1"/>
    <col min="3448" max="3448" width="10.85546875" bestFit="1" customWidth="1"/>
    <col min="3449" max="3449" width="14.85546875" bestFit="1" customWidth="1"/>
    <col min="3450" max="3450" width="11.7109375" bestFit="1" customWidth="1"/>
    <col min="3451" max="3451" width="15" bestFit="1" customWidth="1"/>
    <col min="3452" max="3452" width="9.5703125" bestFit="1" customWidth="1"/>
    <col min="3453" max="3453" width="12.5703125" bestFit="1" customWidth="1"/>
    <col min="3454" max="3454" width="13.140625" bestFit="1" customWidth="1"/>
    <col min="3455" max="3455" width="15" bestFit="1" customWidth="1"/>
    <col min="3456" max="3456" width="9.5703125" bestFit="1" customWidth="1"/>
    <col min="3457" max="3457" width="14.140625" bestFit="1" customWidth="1"/>
    <col min="3458" max="3458" width="11.7109375" bestFit="1" customWidth="1"/>
    <col min="3459" max="3459" width="15" bestFit="1" customWidth="1"/>
    <col min="3460" max="3460" width="9.5703125" bestFit="1" customWidth="1"/>
    <col min="3461" max="3461" width="14.85546875" bestFit="1" customWidth="1"/>
    <col min="3462" max="3462" width="14.140625" bestFit="1" customWidth="1"/>
    <col min="3463" max="3463" width="15" bestFit="1" customWidth="1"/>
    <col min="3464" max="3464" width="9.5703125" bestFit="1" customWidth="1"/>
    <col min="3465" max="3465" width="14.85546875" bestFit="1" customWidth="1"/>
    <col min="3466" max="3466" width="15" bestFit="1" customWidth="1"/>
    <col min="3467" max="3467" width="9.5703125" bestFit="1" customWidth="1"/>
    <col min="3468" max="3468" width="12.5703125" bestFit="1" customWidth="1"/>
    <col min="3469" max="3469" width="15" bestFit="1" customWidth="1"/>
    <col min="3470" max="3470" width="9.5703125" bestFit="1" customWidth="1"/>
    <col min="3471" max="3471" width="14.85546875" bestFit="1" customWidth="1"/>
    <col min="3472" max="3472" width="13.140625" bestFit="1" customWidth="1"/>
    <col min="3473" max="3473" width="15.7109375" bestFit="1" customWidth="1"/>
    <col min="3474" max="3474" width="10.28515625"/>
    <col min="3475" max="3475" width="11.28515625" bestFit="1" customWidth="1"/>
    <col min="3476" max="3476" width="15.5703125" bestFit="1" customWidth="1"/>
    <col min="3477" max="3477" width="10.140625" bestFit="1" customWidth="1"/>
    <col min="3478" max="3478" width="14.85546875" bestFit="1" customWidth="1"/>
    <col min="3479" max="3479" width="13.140625" bestFit="1" customWidth="1"/>
    <col min="3480" max="3480" width="11.7109375" bestFit="1" customWidth="1"/>
    <col min="3481" max="3481" width="15.7109375" bestFit="1" customWidth="1"/>
    <col min="3482" max="3482" width="10.28515625"/>
    <col min="3483" max="3483" width="14.140625" bestFit="1" customWidth="1"/>
    <col min="3484" max="3484" width="15.7109375" bestFit="1" customWidth="1"/>
    <col min="3485" max="3485" width="10.28515625"/>
    <col min="3486" max="3486" width="14.85546875" bestFit="1" customWidth="1"/>
    <col min="3487" max="3487" width="15.7109375" bestFit="1" customWidth="1"/>
    <col min="3488" max="3488" width="10.28515625"/>
    <col min="3489" max="3489" width="11.42578125" bestFit="1" customWidth="1"/>
    <col min="3490" max="3490" width="15.7109375" bestFit="1" customWidth="1"/>
    <col min="3491" max="3491" width="10.28515625"/>
    <col min="3492" max="3492" width="16" bestFit="1" customWidth="1"/>
    <col min="3493" max="3493" width="15.7109375" bestFit="1" customWidth="1"/>
    <col min="3494" max="3494" width="10.28515625"/>
    <col min="3495" max="3495" width="14.85546875" bestFit="1" customWidth="1"/>
    <col min="3496" max="3496" width="15.85546875" bestFit="1" customWidth="1"/>
    <col min="3497" max="3497" width="10.42578125" bestFit="1" customWidth="1"/>
    <col min="3498" max="3498" width="14.85546875" bestFit="1" customWidth="1"/>
    <col min="3499" max="3499" width="15.7109375" bestFit="1" customWidth="1"/>
    <col min="3500" max="3500" width="10.28515625"/>
    <col min="3501" max="3501" width="16" bestFit="1" customWidth="1"/>
    <col min="3502" max="3502" width="14.85546875" bestFit="1" customWidth="1"/>
    <col min="3503" max="3503" width="15.85546875" bestFit="1" customWidth="1"/>
    <col min="3504" max="3504" width="10.42578125" bestFit="1" customWidth="1"/>
    <col min="3505" max="3505" width="12.5703125" bestFit="1" customWidth="1"/>
    <col min="3506" max="3506" width="15.85546875" bestFit="1" customWidth="1"/>
    <col min="3507" max="3507" width="10.42578125" bestFit="1" customWidth="1"/>
    <col min="3508" max="3508" width="12.5703125" bestFit="1" customWidth="1"/>
    <col min="3509" max="3509" width="14.85546875" bestFit="1" customWidth="1"/>
    <col min="3510" max="3510" width="15.85546875" bestFit="1" customWidth="1"/>
    <col min="3511" max="3511" width="10.42578125" bestFit="1" customWidth="1"/>
    <col min="3512" max="3512" width="16" bestFit="1" customWidth="1"/>
    <col min="3513" max="3513" width="12.5703125" bestFit="1" customWidth="1"/>
    <col min="3514" max="3514" width="15.85546875" bestFit="1" customWidth="1"/>
    <col min="3515" max="3515" width="10.42578125" bestFit="1" customWidth="1"/>
    <col min="3516" max="3516" width="13.140625" bestFit="1" customWidth="1"/>
    <col min="3517" max="3517" width="15.85546875" bestFit="1" customWidth="1"/>
    <col min="3518" max="3518" width="10.42578125" bestFit="1" customWidth="1"/>
    <col min="3519" max="3519" width="11.7109375" bestFit="1" customWidth="1"/>
    <col min="3520" max="3520" width="15.85546875" bestFit="1" customWidth="1"/>
    <col min="3521" max="3521" width="10.42578125" bestFit="1" customWidth="1"/>
    <col min="3522" max="3522" width="17.5703125" bestFit="1" customWidth="1"/>
    <col min="3523" max="3523" width="20.7109375" bestFit="1" customWidth="1"/>
    <col min="3524" max="3524" width="21.140625" bestFit="1" customWidth="1"/>
    <col min="3525" max="3525" width="16.85546875" bestFit="1" customWidth="1"/>
    <col min="3526" max="3526" width="17.85546875" bestFit="1" customWidth="1"/>
  </cols>
  <sheetData>
    <row r="3" spans="1:6" x14ac:dyDescent="0.25">
      <c r="A3" s="5" t="s">
        <v>27</v>
      </c>
      <c r="B3" s="17" t="s">
        <v>29</v>
      </c>
      <c r="C3" s="17" t="s">
        <v>36</v>
      </c>
      <c r="D3" s="17" t="s">
        <v>35</v>
      </c>
      <c r="E3" s="17" t="s">
        <v>56</v>
      </c>
      <c r="F3" s="17" t="s">
        <v>68</v>
      </c>
    </row>
    <row r="4" spans="1:6" x14ac:dyDescent="0.25">
      <c r="A4" s="6" t="s">
        <v>15</v>
      </c>
      <c r="B4" s="31">
        <v>1779634409</v>
      </c>
      <c r="C4" s="4">
        <v>45</v>
      </c>
      <c r="D4" s="31">
        <v>39547431.311111107</v>
      </c>
      <c r="E4" s="31">
        <v>11020414</v>
      </c>
      <c r="F4" s="31">
        <v>64400975</v>
      </c>
    </row>
    <row r="5" spans="1:6" x14ac:dyDescent="0.25">
      <c r="A5" s="6" t="s">
        <v>12</v>
      </c>
      <c r="B5" s="31">
        <v>2341454878</v>
      </c>
      <c r="C5" s="4">
        <v>57</v>
      </c>
      <c r="D5" s="31">
        <v>41078155.754385963</v>
      </c>
      <c r="E5" s="31">
        <v>12748585</v>
      </c>
      <c r="F5" s="31">
        <v>69803402</v>
      </c>
    </row>
    <row r="6" spans="1:6" x14ac:dyDescent="0.25">
      <c r="A6" s="6" t="s">
        <v>8</v>
      </c>
      <c r="B6" s="31">
        <v>415387447</v>
      </c>
      <c r="C6" s="4">
        <v>12</v>
      </c>
      <c r="D6" s="31">
        <v>34615620.583333336</v>
      </c>
      <c r="E6" s="31">
        <v>11754232</v>
      </c>
      <c r="F6" s="31">
        <v>60213373</v>
      </c>
    </row>
    <row r="7" spans="1:6" x14ac:dyDescent="0.25">
      <c r="A7" s="6" t="s">
        <v>14</v>
      </c>
      <c r="B7" s="31">
        <v>2533440227</v>
      </c>
      <c r="C7" s="4">
        <v>67</v>
      </c>
      <c r="D7" s="31">
        <v>37812540.701492541</v>
      </c>
      <c r="E7" s="31">
        <v>12391313</v>
      </c>
      <c r="F7" s="31">
        <v>69743261</v>
      </c>
    </row>
    <row r="8" spans="1:6" x14ac:dyDescent="0.25">
      <c r="A8" s="6" t="s">
        <v>7</v>
      </c>
      <c r="B8" s="31">
        <v>1231715089</v>
      </c>
      <c r="C8" s="4">
        <v>35</v>
      </c>
      <c r="D8" s="31">
        <v>35191859.685714282</v>
      </c>
      <c r="E8" s="31">
        <v>11569473</v>
      </c>
      <c r="F8" s="31">
        <v>69480045</v>
      </c>
    </row>
    <row r="9" spans="1:6" x14ac:dyDescent="0.25">
      <c r="A9" s="6" t="s">
        <v>5</v>
      </c>
      <c r="B9" s="31">
        <v>1063670667</v>
      </c>
      <c r="C9" s="4">
        <v>29</v>
      </c>
      <c r="D9" s="31">
        <v>36678298.862068966</v>
      </c>
      <c r="E9" s="31">
        <v>10468482</v>
      </c>
      <c r="F9" s="31">
        <v>69634434</v>
      </c>
    </row>
    <row r="10" spans="1:6" x14ac:dyDescent="0.25">
      <c r="A10" s="6" t="s">
        <v>10</v>
      </c>
      <c r="B10" s="31">
        <v>795341591</v>
      </c>
      <c r="C10" s="4">
        <v>21</v>
      </c>
      <c r="D10" s="31">
        <v>37873409.095238097</v>
      </c>
      <c r="E10" s="31">
        <v>13671574</v>
      </c>
      <c r="F10" s="31">
        <v>67522987</v>
      </c>
    </row>
    <row r="11" spans="1:6" x14ac:dyDescent="0.25">
      <c r="A11" s="6" t="s">
        <v>3</v>
      </c>
      <c r="B11" s="31">
        <v>451042104</v>
      </c>
      <c r="C11" s="4">
        <v>10</v>
      </c>
      <c r="D11" s="31">
        <v>45104210.399999999</v>
      </c>
      <c r="E11" s="31">
        <v>18108928</v>
      </c>
      <c r="F11" s="31">
        <v>64205697</v>
      </c>
    </row>
    <row r="12" spans="1:6" x14ac:dyDescent="0.25">
      <c r="A12" s="6" t="s">
        <v>9</v>
      </c>
      <c r="B12" s="31">
        <v>862453278</v>
      </c>
      <c r="C12" s="4">
        <v>24</v>
      </c>
      <c r="D12" s="31">
        <v>35935553.25</v>
      </c>
      <c r="E12" s="31">
        <v>10965972</v>
      </c>
      <c r="F12" s="31">
        <v>58335226</v>
      </c>
    </row>
    <row r="13" spans="1:6" x14ac:dyDescent="0.25">
      <c r="A13" s="6" t="s">
        <v>28</v>
      </c>
      <c r="B13" s="31">
        <v>11474139690</v>
      </c>
      <c r="C13" s="4">
        <v>300</v>
      </c>
      <c r="D13" s="31">
        <v>38247132.299999997</v>
      </c>
      <c r="E13" s="31">
        <v>10468482</v>
      </c>
      <c r="F13" s="31">
        <v>69803402</v>
      </c>
    </row>
    <row r="17" spans="1:123" x14ac:dyDescent="0.25">
      <c r="B17" s="5" t="s">
        <v>30</v>
      </c>
    </row>
    <row r="18" spans="1:123" x14ac:dyDescent="0.25">
      <c r="B18" s="17" t="s">
        <v>15</v>
      </c>
      <c r="N18" s="17" t="s">
        <v>38</v>
      </c>
      <c r="O18" s="17" t="s">
        <v>57</v>
      </c>
      <c r="P18" s="17" t="s">
        <v>12</v>
      </c>
      <c r="AB18" s="17" t="s">
        <v>39</v>
      </c>
      <c r="AC18" s="17" t="s">
        <v>58</v>
      </c>
      <c r="AD18" s="17" t="s">
        <v>8</v>
      </c>
      <c r="AP18" s="17" t="s">
        <v>40</v>
      </c>
      <c r="AQ18" s="17" t="s">
        <v>59</v>
      </c>
      <c r="AR18" s="17" t="s">
        <v>14</v>
      </c>
      <c r="BD18" s="17" t="s">
        <v>41</v>
      </c>
      <c r="BE18" s="17" t="s">
        <v>60</v>
      </c>
      <c r="BF18" s="17" t="s">
        <v>7</v>
      </c>
      <c r="BR18" s="17" t="s">
        <v>42</v>
      </c>
      <c r="BS18" s="17" t="s">
        <v>61</v>
      </c>
      <c r="BT18" s="17" t="s">
        <v>5</v>
      </c>
      <c r="CF18" s="17" t="s">
        <v>43</v>
      </c>
      <c r="CG18" s="17" t="s">
        <v>62</v>
      </c>
      <c r="CH18" s="17" t="s">
        <v>10</v>
      </c>
      <c r="CT18" s="17" t="s">
        <v>44</v>
      </c>
      <c r="CU18" s="17" t="s">
        <v>63</v>
      </c>
      <c r="CV18" s="17" t="s">
        <v>3</v>
      </c>
      <c r="DD18" s="17" t="s">
        <v>45</v>
      </c>
      <c r="DE18" s="17" t="s">
        <v>64</v>
      </c>
      <c r="DF18" s="17" t="s">
        <v>9</v>
      </c>
      <c r="DP18" s="17" t="s">
        <v>46</v>
      </c>
      <c r="DQ18" s="17" t="s">
        <v>65</v>
      </c>
      <c r="DR18" s="17" t="s">
        <v>37</v>
      </c>
      <c r="DS18" s="17" t="s">
        <v>66</v>
      </c>
    </row>
    <row r="19" spans="1:123" x14ac:dyDescent="0.25">
      <c r="B19" s="17" t="s">
        <v>35</v>
      </c>
      <c r="H19" s="17" t="s">
        <v>67</v>
      </c>
      <c r="P19" s="17" t="s">
        <v>35</v>
      </c>
      <c r="V19" s="17" t="s">
        <v>67</v>
      </c>
      <c r="AD19" s="17" t="s">
        <v>35</v>
      </c>
      <c r="AJ19" s="17" t="s">
        <v>67</v>
      </c>
      <c r="AR19" s="17" t="s">
        <v>35</v>
      </c>
      <c r="AX19" s="17" t="s">
        <v>67</v>
      </c>
      <c r="BF19" s="17" t="s">
        <v>35</v>
      </c>
      <c r="BL19" s="17" t="s">
        <v>67</v>
      </c>
      <c r="BT19" s="17" t="s">
        <v>35</v>
      </c>
      <c r="BZ19" s="17" t="s">
        <v>67</v>
      </c>
      <c r="CH19" s="17" t="s">
        <v>35</v>
      </c>
      <c r="CN19" s="17" t="s">
        <v>67</v>
      </c>
      <c r="CV19" s="17" t="s">
        <v>35</v>
      </c>
      <c r="CZ19" s="17" t="s">
        <v>67</v>
      </c>
      <c r="DF19" s="17" t="s">
        <v>35</v>
      </c>
      <c r="DK19" s="17" t="s">
        <v>67</v>
      </c>
    </row>
    <row r="20" spans="1:123" x14ac:dyDescent="0.25">
      <c r="A20" s="5" t="s">
        <v>27</v>
      </c>
      <c r="B20" s="17" t="s">
        <v>20</v>
      </c>
      <c r="C20" s="17" t="s">
        <v>24</v>
      </c>
      <c r="D20" s="17" t="s">
        <v>25</v>
      </c>
      <c r="E20" s="17" t="s">
        <v>21</v>
      </c>
      <c r="F20" s="17" t="s">
        <v>22</v>
      </c>
      <c r="G20" s="17" t="s">
        <v>23</v>
      </c>
      <c r="H20" s="17" t="s">
        <v>20</v>
      </c>
      <c r="I20" s="17" t="s">
        <v>24</v>
      </c>
      <c r="J20" s="17" t="s">
        <v>25</v>
      </c>
      <c r="K20" s="17" t="s">
        <v>21</v>
      </c>
      <c r="L20" s="17" t="s">
        <v>22</v>
      </c>
      <c r="M20" s="17" t="s">
        <v>23</v>
      </c>
      <c r="P20" s="17" t="s">
        <v>20</v>
      </c>
      <c r="Q20" s="17" t="s">
        <v>24</v>
      </c>
      <c r="R20" s="17" t="s">
        <v>25</v>
      </c>
      <c r="S20" s="17" t="s">
        <v>21</v>
      </c>
      <c r="T20" s="17" t="s">
        <v>22</v>
      </c>
      <c r="U20" s="17" t="s">
        <v>23</v>
      </c>
      <c r="V20" s="17" t="s">
        <v>20</v>
      </c>
      <c r="W20" s="17" t="s">
        <v>24</v>
      </c>
      <c r="X20" s="17" t="s">
        <v>25</v>
      </c>
      <c r="Y20" s="17" t="s">
        <v>21</v>
      </c>
      <c r="Z20" s="17" t="s">
        <v>22</v>
      </c>
      <c r="AA20" s="17" t="s">
        <v>23</v>
      </c>
      <c r="AD20" s="17" t="s">
        <v>20</v>
      </c>
      <c r="AE20" s="17" t="s">
        <v>24</v>
      </c>
      <c r="AF20" s="17" t="s">
        <v>25</v>
      </c>
      <c r="AG20" s="17" t="s">
        <v>21</v>
      </c>
      <c r="AH20" s="17" t="s">
        <v>22</v>
      </c>
      <c r="AI20" s="17" t="s">
        <v>23</v>
      </c>
      <c r="AJ20" s="17" t="s">
        <v>20</v>
      </c>
      <c r="AK20" s="17" t="s">
        <v>24</v>
      </c>
      <c r="AL20" s="17" t="s">
        <v>25</v>
      </c>
      <c r="AM20" s="17" t="s">
        <v>21</v>
      </c>
      <c r="AN20" s="17" t="s">
        <v>22</v>
      </c>
      <c r="AO20" s="17" t="s">
        <v>23</v>
      </c>
      <c r="AR20" s="17" t="s">
        <v>20</v>
      </c>
      <c r="AS20" s="17" t="s">
        <v>24</v>
      </c>
      <c r="AT20" s="17" t="s">
        <v>25</v>
      </c>
      <c r="AU20" s="17" t="s">
        <v>21</v>
      </c>
      <c r="AV20" s="17" t="s">
        <v>22</v>
      </c>
      <c r="AW20" s="17" t="s">
        <v>23</v>
      </c>
      <c r="AX20" s="17" t="s">
        <v>20</v>
      </c>
      <c r="AY20" s="17" t="s">
        <v>24</v>
      </c>
      <c r="AZ20" s="17" t="s">
        <v>25</v>
      </c>
      <c r="BA20" s="17" t="s">
        <v>21</v>
      </c>
      <c r="BB20" s="17" t="s">
        <v>22</v>
      </c>
      <c r="BC20" s="17" t="s">
        <v>23</v>
      </c>
      <c r="BF20" s="17" t="s">
        <v>20</v>
      </c>
      <c r="BG20" s="17" t="s">
        <v>24</v>
      </c>
      <c r="BH20" s="17" t="s">
        <v>25</v>
      </c>
      <c r="BI20" s="17" t="s">
        <v>21</v>
      </c>
      <c r="BJ20" s="17" t="s">
        <v>22</v>
      </c>
      <c r="BK20" s="17" t="s">
        <v>23</v>
      </c>
      <c r="BL20" s="17" t="s">
        <v>20</v>
      </c>
      <c r="BM20" s="17" t="s">
        <v>24</v>
      </c>
      <c r="BN20" s="17" t="s">
        <v>25</v>
      </c>
      <c r="BO20" s="17" t="s">
        <v>21</v>
      </c>
      <c r="BP20" s="17" t="s">
        <v>22</v>
      </c>
      <c r="BQ20" s="17" t="s">
        <v>23</v>
      </c>
      <c r="BT20" s="17" t="s">
        <v>20</v>
      </c>
      <c r="BU20" s="17" t="s">
        <v>24</v>
      </c>
      <c r="BV20" s="17" t="s">
        <v>25</v>
      </c>
      <c r="BW20" s="17" t="s">
        <v>21</v>
      </c>
      <c r="BX20" s="17" t="s">
        <v>22</v>
      </c>
      <c r="BY20" s="17" t="s">
        <v>23</v>
      </c>
      <c r="BZ20" s="17" t="s">
        <v>20</v>
      </c>
      <c r="CA20" s="17" t="s">
        <v>24</v>
      </c>
      <c r="CB20" s="17" t="s">
        <v>25</v>
      </c>
      <c r="CC20" s="17" t="s">
        <v>21</v>
      </c>
      <c r="CD20" s="17" t="s">
        <v>22</v>
      </c>
      <c r="CE20" s="17" t="s">
        <v>23</v>
      </c>
      <c r="CH20" s="17" t="s">
        <v>20</v>
      </c>
      <c r="CI20" s="17" t="s">
        <v>24</v>
      </c>
      <c r="CJ20" s="17" t="s">
        <v>25</v>
      </c>
      <c r="CK20" s="17" t="s">
        <v>21</v>
      </c>
      <c r="CL20" s="17" t="s">
        <v>22</v>
      </c>
      <c r="CM20" s="17" t="s">
        <v>23</v>
      </c>
      <c r="CN20" s="17" t="s">
        <v>20</v>
      </c>
      <c r="CO20" s="17" t="s">
        <v>24</v>
      </c>
      <c r="CP20" s="17" t="s">
        <v>25</v>
      </c>
      <c r="CQ20" s="17" t="s">
        <v>21</v>
      </c>
      <c r="CR20" s="17" t="s">
        <v>22</v>
      </c>
      <c r="CS20" s="17" t="s">
        <v>23</v>
      </c>
      <c r="CV20" s="17" t="s">
        <v>20</v>
      </c>
      <c r="CW20" s="17" t="s">
        <v>21</v>
      </c>
      <c r="CX20" s="17" t="s">
        <v>22</v>
      </c>
      <c r="CY20" s="17" t="s">
        <v>23</v>
      </c>
      <c r="CZ20" s="17" t="s">
        <v>20</v>
      </c>
      <c r="DA20" s="17" t="s">
        <v>21</v>
      </c>
      <c r="DB20" s="17" t="s">
        <v>22</v>
      </c>
      <c r="DC20" s="17" t="s">
        <v>23</v>
      </c>
      <c r="DF20" s="17" t="s">
        <v>20</v>
      </c>
      <c r="DG20" s="17" t="s">
        <v>24</v>
      </c>
      <c r="DH20" s="17" t="s">
        <v>21</v>
      </c>
      <c r="DI20" s="17" t="s">
        <v>22</v>
      </c>
      <c r="DJ20" s="17" t="s">
        <v>23</v>
      </c>
      <c r="DK20" s="17" t="s">
        <v>20</v>
      </c>
      <c r="DL20" s="17" t="s">
        <v>24</v>
      </c>
      <c r="DM20" s="17" t="s">
        <v>21</v>
      </c>
      <c r="DN20" s="17" t="s">
        <v>22</v>
      </c>
      <c r="DO20" s="17" t="s">
        <v>23</v>
      </c>
    </row>
    <row r="21" spans="1:123" x14ac:dyDescent="0.25">
      <c r="A21" s="6" t="s">
        <v>31</v>
      </c>
      <c r="B21" s="4">
        <v>42973258</v>
      </c>
      <c r="C21" s="4">
        <v>14118233</v>
      </c>
      <c r="D21" s="4">
        <v>15123765</v>
      </c>
      <c r="E21" s="4">
        <v>42310379.200000003</v>
      </c>
      <c r="F21" s="4">
        <v>50713175</v>
      </c>
      <c r="G21" s="4">
        <v>63497934.5</v>
      </c>
      <c r="H21" s="4">
        <v>2</v>
      </c>
      <c r="I21" s="4">
        <v>2</v>
      </c>
      <c r="J21" s="4">
        <v>1</v>
      </c>
      <c r="K21" s="4">
        <v>5</v>
      </c>
      <c r="L21" s="4">
        <v>1</v>
      </c>
      <c r="M21" s="4">
        <v>2</v>
      </c>
      <c r="N21" s="11">
        <v>39889822.07692308</v>
      </c>
      <c r="O21" s="11">
        <v>13</v>
      </c>
      <c r="P21" s="4">
        <v>36753850</v>
      </c>
      <c r="Q21" s="4">
        <v>35622159</v>
      </c>
      <c r="R21" s="4"/>
      <c r="S21" s="4">
        <v>37084237</v>
      </c>
      <c r="T21" s="4"/>
      <c r="U21" s="4">
        <v>20785718.5</v>
      </c>
      <c r="V21" s="4">
        <v>1</v>
      </c>
      <c r="W21" s="4">
        <v>2</v>
      </c>
      <c r="X21" s="4"/>
      <c r="Y21" s="4">
        <v>3</v>
      </c>
      <c r="Z21" s="4"/>
      <c r="AA21" s="4">
        <v>2</v>
      </c>
      <c r="AB21" s="4">
        <v>32602789.5</v>
      </c>
      <c r="AC21" s="4">
        <v>8</v>
      </c>
      <c r="AD21" s="4">
        <v>59925268</v>
      </c>
      <c r="AE21" s="4"/>
      <c r="AF21" s="4"/>
      <c r="AG21" s="4">
        <v>21488176</v>
      </c>
      <c r="AH21" s="4"/>
      <c r="AI21" s="4"/>
      <c r="AJ21" s="4">
        <v>1</v>
      </c>
      <c r="AK21" s="4"/>
      <c r="AL21" s="4"/>
      <c r="AM21" s="4">
        <v>1</v>
      </c>
      <c r="AN21" s="4"/>
      <c r="AO21" s="4"/>
      <c r="AP21" s="4">
        <v>40706722</v>
      </c>
      <c r="AQ21" s="4">
        <v>2</v>
      </c>
      <c r="AR21" s="4">
        <v>61621621</v>
      </c>
      <c r="AS21" s="4"/>
      <c r="AT21" s="4"/>
      <c r="AU21" s="4">
        <v>39631422.5</v>
      </c>
      <c r="AV21" s="4">
        <v>47823462</v>
      </c>
      <c r="AW21" s="4">
        <v>33846582.25</v>
      </c>
      <c r="AX21" s="4">
        <v>1</v>
      </c>
      <c r="AY21" s="4"/>
      <c r="AZ21" s="4"/>
      <c r="BA21" s="4">
        <v>2</v>
      </c>
      <c r="BB21" s="4">
        <v>5</v>
      </c>
      <c r="BC21" s="4">
        <v>4</v>
      </c>
      <c r="BD21" s="4">
        <v>42949008.75</v>
      </c>
      <c r="BE21" s="4">
        <v>12</v>
      </c>
      <c r="BF21" s="4">
        <v>36112679</v>
      </c>
      <c r="BG21" s="4">
        <v>48006485.5</v>
      </c>
      <c r="BH21" s="4"/>
      <c r="BI21" s="4">
        <v>11569473</v>
      </c>
      <c r="BJ21" s="4">
        <v>56516103.5</v>
      </c>
      <c r="BK21" s="4">
        <v>17676440</v>
      </c>
      <c r="BL21" s="4">
        <v>2</v>
      </c>
      <c r="BM21" s="4">
        <v>2</v>
      </c>
      <c r="BN21" s="4"/>
      <c r="BO21" s="4">
        <v>1</v>
      </c>
      <c r="BP21" s="4">
        <v>2</v>
      </c>
      <c r="BQ21" s="4">
        <v>1</v>
      </c>
      <c r="BR21" s="4">
        <v>38814556.125</v>
      </c>
      <c r="BS21" s="4">
        <v>8</v>
      </c>
      <c r="BT21" s="4"/>
      <c r="BU21" s="4">
        <v>42509651</v>
      </c>
      <c r="BV21" s="4"/>
      <c r="BW21" s="4">
        <v>36054593.5</v>
      </c>
      <c r="BX21" s="4">
        <v>48133246.333333336</v>
      </c>
      <c r="BY21" s="4">
        <v>54044956</v>
      </c>
      <c r="BZ21" s="4"/>
      <c r="CA21" s="4">
        <v>2</v>
      </c>
      <c r="CB21" s="4"/>
      <c r="CC21" s="4">
        <v>2</v>
      </c>
      <c r="CD21" s="4">
        <v>3</v>
      </c>
      <c r="CE21" s="4">
        <v>1</v>
      </c>
      <c r="CF21" s="4">
        <v>44446648</v>
      </c>
      <c r="CG21" s="4">
        <v>8</v>
      </c>
      <c r="CH21" s="4"/>
      <c r="CI21" s="4"/>
      <c r="CJ21" s="4"/>
      <c r="CK21" s="4">
        <v>34482169</v>
      </c>
      <c r="CL21" s="4"/>
      <c r="CM21" s="4"/>
      <c r="CN21" s="4"/>
      <c r="CO21" s="4"/>
      <c r="CP21" s="4"/>
      <c r="CQ21" s="4">
        <v>1</v>
      </c>
      <c r="CR21" s="4"/>
      <c r="CS21" s="4"/>
      <c r="CT21" s="4">
        <v>34482169</v>
      </c>
      <c r="CU21" s="4">
        <v>1</v>
      </c>
      <c r="CV21" s="4"/>
      <c r="CW21" s="4">
        <v>46402085.5</v>
      </c>
      <c r="CX21" s="4"/>
      <c r="CY21" s="4"/>
      <c r="CZ21" s="4"/>
      <c r="DA21" s="4">
        <v>2</v>
      </c>
      <c r="DB21" s="4"/>
      <c r="DC21" s="4"/>
      <c r="DD21" s="4">
        <v>46402085.5</v>
      </c>
      <c r="DE21" s="4">
        <v>2</v>
      </c>
      <c r="DF21" s="4"/>
      <c r="DG21" s="4">
        <v>47908941.666666664</v>
      </c>
      <c r="DH21" s="4">
        <v>44741667.5</v>
      </c>
      <c r="DI21" s="4"/>
      <c r="DJ21" s="4"/>
      <c r="DK21" s="4"/>
      <c r="DL21" s="4">
        <v>3</v>
      </c>
      <c r="DM21" s="4">
        <v>2</v>
      </c>
      <c r="DN21" s="4"/>
      <c r="DO21" s="4"/>
      <c r="DP21" s="4">
        <v>46642032</v>
      </c>
      <c r="DQ21" s="4">
        <v>5</v>
      </c>
      <c r="DR21" s="4">
        <v>40725045.508474573</v>
      </c>
      <c r="DS21" s="4">
        <v>59</v>
      </c>
    </row>
    <row r="22" spans="1:123" x14ac:dyDescent="0.25">
      <c r="A22" s="6" t="s">
        <v>32</v>
      </c>
      <c r="B22" s="4">
        <v>54333888</v>
      </c>
      <c r="C22" s="4">
        <v>33705973</v>
      </c>
      <c r="D22" s="4"/>
      <c r="E22" s="4">
        <v>42436970</v>
      </c>
      <c r="F22" s="4">
        <v>31444365</v>
      </c>
      <c r="G22" s="4">
        <v>36765544.5</v>
      </c>
      <c r="H22" s="4">
        <v>2</v>
      </c>
      <c r="I22" s="4">
        <v>1</v>
      </c>
      <c r="J22" s="4"/>
      <c r="K22" s="4">
        <v>2</v>
      </c>
      <c r="L22" s="4">
        <v>2</v>
      </c>
      <c r="M22" s="4">
        <v>2</v>
      </c>
      <c r="N22" s="11">
        <v>40407500.888888888</v>
      </c>
      <c r="O22" s="11">
        <v>9</v>
      </c>
      <c r="P22" s="4">
        <v>43022682.200000003</v>
      </c>
      <c r="Q22" s="4">
        <v>37475943.799999997</v>
      </c>
      <c r="R22" s="4"/>
      <c r="S22" s="4">
        <v>29850774.5</v>
      </c>
      <c r="T22" s="4">
        <v>29329382.5</v>
      </c>
      <c r="U22" s="4">
        <v>34282502.75</v>
      </c>
      <c r="V22" s="4">
        <v>5</v>
      </c>
      <c r="W22" s="4">
        <v>5</v>
      </c>
      <c r="X22" s="4"/>
      <c r="Y22" s="4">
        <v>4</v>
      </c>
      <c r="Z22" s="4">
        <v>2</v>
      </c>
      <c r="AA22" s="4">
        <v>4</v>
      </c>
      <c r="AB22" s="4">
        <v>35884250.200000003</v>
      </c>
      <c r="AC22" s="4">
        <v>20</v>
      </c>
      <c r="AD22" s="4"/>
      <c r="AE22" s="4"/>
      <c r="AF22" s="4"/>
      <c r="AG22" s="4">
        <v>35955759</v>
      </c>
      <c r="AH22" s="4">
        <v>45597149</v>
      </c>
      <c r="AI22" s="4">
        <v>11754232</v>
      </c>
      <c r="AJ22" s="4"/>
      <c r="AK22" s="4"/>
      <c r="AL22" s="4"/>
      <c r="AM22" s="4">
        <v>1</v>
      </c>
      <c r="AN22" s="4">
        <v>1</v>
      </c>
      <c r="AO22" s="4">
        <v>1</v>
      </c>
      <c r="AP22" s="4">
        <v>31102380</v>
      </c>
      <c r="AQ22" s="4">
        <v>3</v>
      </c>
      <c r="AR22" s="4">
        <v>36268792</v>
      </c>
      <c r="AS22" s="4">
        <v>32806023.25</v>
      </c>
      <c r="AT22" s="4"/>
      <c r="AU22" s="4">
        <v>42540051.5</v>
      </c>
      <c r="AV22" s="4">
        <v>40235260</v>
      </c>
      <c r="AW22" s="4">
        <v>25304538</v>
      </c>
      <c r="AX22" s="4">
        <v>6</v>
      </c>
      <c r="AY22" s="4">
        <v>4</v>
      </c>
      <c r="AZ22" s="4"/>
      <c r="BA22" s="4">
        <v>2</v>
      </c>
      <c r="BB22" s="4">
        <v>2</v>
      </c>
      <c r="BC22" s="4">
        <v>4</v>
      </c>
      <c r="BD22" s="4">
        <v>34200312.222222224</v>
      </c>
      <c r="BE22" s="4">
        <v>18</v>
      </c>
      <c r="BF22" s="4"/>
      <c r="BG22" s="4">
        <v>18492407.5</v>
      </c>
      <c r="BH22" s="4">
        <v>23833572.5</v>
      </c>
      <c r="BI22" s="4">
        <v>50033777</v>
      </c>
      <c r="BJ22" s="4">
        <v>34515342</v>
      </c>
      <c r="BK22" s="4"/>
      <c r="BL22" s="4"/>
      <c r="BM22" s="4">
        <v>4</v>
      </c>
      <c r="BN22" s="4">
        <v>2</v>
      </c>
      <c r="BO22" s="4">
        <v>3</v>
      </c>
      <c r="BP22" s="4">
        <v>1</v>
      </c>
      <c r="BQ22" s="4"/>
      <c r="BR22" s="4">
        <v>30625344.800000001</v>
      </c>
      <c r="BS22" s="4">
        <v>10</v>
      </c>
      <c r="BT22" s="4"/>
      <c r="BU22" s="4">
        <v>31003746</v>
      </c>
      <c r="BV22" s="4"/>
      <c r="BW22" s="4">
        <v>17257031</v>
      </c>
      <c r="BX22" s="4">
        <v>20685130</v>
      </c>
      <c r="BY22" s="4">
        <v>61927134</v>
      </c>
      <c r="BZ22" s="4"/>
      <c r="CA22" s="4">
        <v>1</v>
      </c>
      <c r="CB22" s="4"/>
      <c r="CC22" s="4">
        <v>1</v>
      </c>
      <c r="CD22" s="4">
        <v>1</v>
      </c>
      <c r="CE22" s="4">
        <v>1</v>
      </c>
      <c r="CF22" s="4">
        <v>32718260.25</v>
      </c>
      <c r="CG22" s="4">
        <v>4</v>
      </c>
      <c r="CH22" s="4">
        <v>35450827</v>
      </c>
      <c r="CI22" s="4">
        <v>28954357.5</v>
      </c>
      <c r="CJ22" s="4">
        <v>53036970</v>
      </c>
      <c r="CK22" s="4">
        <v>54029275</v>
      </c>
      <c r="CL22" s="4">
        <v>22615796.5</v>
      </c>
      <c r="CM22" s="4">
        <v>62740849</v>
      </c>
      <c r="CN22" s="4">
        <v>3</v>
      </c>
      <c r="CO22" s="4">
        <v>2</v>
      </c>
      <c r="CP22" s="4">
        <v>1</v>
      </c>
      <c r="CQ22" s="4">
        <v>1</v>
      </c>
      <c r="CR22" s="4">
        <v>2</v>
      </c>
      <c r="CS22" s="4">
        <v>1</v>
      </c>
      <c r="CT22" s="4">
        <v>37929988.299999997</v>
      </c>
      <c r="CU22" s="4">
        <v>10</v>
      </c>
      <c r="CV22" s="4"/>
      <c r="CW22" s="4"/>
      <c r="CX22" s="4">
        <v>64205697</v>
      </c>
      <c r="CY22" s="4"/>
      <c r="CZ22" s="4"/>
      <c r="DA22" s="4"/>
      <c r="DB22" s="4">
        <v>1</v>
      </c>
      <c r="DC22" s="4"/>
      <c r="DD22" s="4">
        <v>64205697</v>
      </c>
      <c r="DE22" s="4">
        <v>1</v>
      </c>
      <c r="DF22" s="4">
        <v>30779419.5</v>
      </c>
      <c r="DG22" s="4"/>
      <c r="DH22" s="4">
        <v>33114595</v>
      </c>
      <c r="DI22" s="4"/>
      <c r="DJ22" s="4">
        <v>13367738</v>
      </c>
      <c r="DK22" s="4">
        <v>2</v>
      </c>
      <c r="DL22" s="4"/>
      <c r="DM22" s="4">
        <v>2</v>
      </c>
      <c r="DN22" s="4"/>
      <c r="DO22" s="4">
        <v>1</v>
      </c>
      <c r="DP22" s="4">
        <v>28231153.399999999</v>
      </c>
      <c r="DQ22" s="4">
        <v>5</v>
      </c>
      <c r="DR22" s="4">
        <v>35150663.850000001</v>
      </c>
      <c r="DS22" s="4">
        <v>80</v>
      </c>
    </row>
    <row r="23" spans="1:123" x14ac:dyDescent="0.25">
      <c r="A23" s="6" t="s">
        <v>33</v>
      </c>
      <c r="B23" s="4">
        <v>30040570</v>
      </c>
      <c r="C23" s="4">
        <v>30351450.75</v>
      </c>
      <c r="D23" s="4"/>
      <c r="E23" s="4"/>
      <c r="F23" s="4">
        <v>58703990.5</v>
      </c>
      <c r="G23" s="4">
        <v>22501471.75</v>
      </c>
      <c r="H23" s="4">
        <v>1</v>
      </c>
      <c r="I23" s="4">
        <v>4</v>
      </c>
      <c r="J23" s="4"/>
      <c r="K23" s="4"/>
      <c r="L23" s="4">
        <v>2</v>
      </c>
      <c r="M23" s="4">
        <v>4</v>
      </c>
      <c r="N23" s="11">
        <v>32623658.272727273</v>
      </c>
      <c r="O23" s="11">
        <v>11</v>
      </c>
      <c r="P23" s="4">
        <v>59206969</v>
      </c>
      <c r="Q23" s="4">
        <v>41953166.5</v>
      </c>
      <c r="R23" s="4">
        <v>51303613</v>
      </c>
      <c r="S23" s="4">
        <v>55155581.666666664</v>
      </c>
      <c r="T23" s="4">
        <v>41851846</v>
      </c>
      <c r="U23" s="4">
        <v>52217687</v>
      </c>
      <c r="V23" s="4">
        <v>3</v>
      </c>
      <c r="W23" s="4">
        <v>4</v>
      </c>
      <c r="X23" s="4">
        <v>1</v>
      </c>
      <c r="Y23" s="4">
        <v>3</v>
      </c>
      <c r="Z23" s="4">
        <v>2</v>
      </c>
      <c r="AA23" s="4">
        <v>3</v>
      </c>
      <c r="AB23" s="4">
        <v>50160042.75</v>
      </c>
      <c r="AC23" s="4">
        <v>16</v>
      </c>
      <c r="AD23" s="4"/>
      <c r="AE23" s="4"/>
      <c r="AF23" s="4">
        <v>30835954</v>
      </c>
      <c r="AG23" s="4">
        <v>16228984</v>
      </c>
      <c r="AH23" s="4">
        <v>60213373</v>
      </c>
      <c r="AI23" s="4">
        <v>31754229</v>
      </c>
      <c r="AJ23" s="4"/>
      <c r="AK23" s="4"/>
      <c r="AL23" s="4">
        <v>1</v>
      </c>
      <c r="AM23" s="4">
        <v>1</v>
      </c>
      <c r="AN23" s="4">
        <v>1</v>
      </c>
      <c r="AO23" s="4">
        <v>1</v>
      </c>
      <c r="AP23" s="4">
        <v>34758135</v>
      </c>
      <c r="AQ23" s="4">
        <v>4</v>
      </c>
      <c r="AR23" s="4">
        <v>29355693</v>
      </c>
      <c r="AS23" s="4">
        <v>18820847</v>
      </c>
      <c r="AT23" s="4"/>
      <c r="AU23" s="4">
        <v>38479478.166666664</v>
      </c>
      <c r="AV23" s="4">
        <v>41871260.333333336</v>
      </c>
      <c r="AW23" s="4">
        <v>32700952.5</v>
      </c>
      <c r="AX23" s="4">
        <v>1</v>
      </c>
      <c r="AY23" s="4">
        <v>1</v>
      </c>
      <c r="AZ23" s="4"/>
      <c r="BA23" s="4">
        <v>6</v>
      </c>
      <c r="BB23" s="4">
        <v>6</v>
      </c>
      <c r="BC23" s="4">
        <v>4</v>
      </c>
      <c r="BD23" s="4">
        <v>36726932.277777776</v>
      </c>
      <c r="BE23" s="4">
        <v>18</v>
      </c>
      <c r="BF23" s="4"/>
      <c r="BG23" s="4">
        <v>39665558</v>
      </c>
      <c r="BH23" s="4">
        <v>22415287</v>
      </c>
      <c r="BI23" s="4">
        <v>32869917</v>
      </c>
      <c r="BJ23" s="4">
        <v>34114954</v>
      </c>
      <c r="BK23" s="4">
        <v>25100800.5</v>
      </c>
      <c r="BL23" s="4"/>
      <c r="BM23" s="4">
        <v>2</v>
      </c>
      <c r="BN23" s="4">
        <v>1</v>
      </c>
      <c r="BO23" s="4">
        <v>2</v>
      </c>
      <c r="BP23" s="4">
        <v>1</v>
      </c>
      <c r="BQ23" s="4">
        <v>2</v>
      </c>
      <c r="BR23" s="4">
        <v>31475349</v>
      </c>
      <c r="BS23" s="4">
        <v>8</v>
      </c>
      <c r="BT23" s="4">
        <v>28310739</v>
      </c>
      <c r="BU23" s="4">
        <v>34559697.5</v>
      </c>
      <c r="BV23" s="4"/>
      <c r="BW23" s="4">
        <v>48349131</v>
      </c>
      <c r="BX23" s="4"/>
      <c r="BY23" s="4">
        <v>21135398</v>
      </c>
      <c r="BZ23" s="4">
        <v>2</v>
      </c>
      <c r="CA23" s="4">
        <v>2</v>
      </c>
      <c r="CB23" s="4"/>
      <c r="CC23" s="4">
        <v>2</v>
      </c>
      <c r="CD23" s="4"/>
      <c r="CE23" s="4">
        <v>1</v>
      </c>
      <c r="CF23" s="4">
        <v>34796361.857142858</v>
      </c>
      <c r="CG23" s="4">
        <v>7</v>
      </c>
      <c r="CH23" s="4">
        <v>43505725.666666664</v>
      </c>
      <c r="CI23" s="4"/>
      <c r="CJ23" s="4"/>
      <c r="CK23" s="4"/>
      <c r="CL23" s="4"/>
      <c r="CM23" s="4"/>
      <c r="CN23" s="4">
        <v>3</v>
      </c>
      <c r="CO23" s="4"/>
      <c r="CP23" s="4"/>
      <c r="CQ23" s="4"/>
      <c r="CR23" s="4"/>
      <c r="CS23" s="4"/>
      <c r="CT23" s="4">
        <v>43505725.666666664</v>
      </c>
      <c r="CU23" s="4">
        <v>3</v>
      </c>
      <c r="CV23" s="4">
        <v>32921090</v>
      </c>
      <c r="CW23" s="4"/>
      <c r="CX23" s="4"/>
      <c r="CY23" s="4">
        <v>42952054</v>
      </c>
      <c r="CZ23" s="4">
        <v>2</v>
      </c>
      <c r="DA23" s="4"/>
      <c r="DB23" s="4"/>
      <c r="DC23" s="4">
        <v>2</v>
      </c>
      <c r="DD23" s="4">
        <v>37936572</v>
      </c>
      <c r="DE23" s="4">
        <v>4</v>
      </c>
      <c r="DF23" s="4"/>
      <c r="DG23" s="4">
        <v>27434970</v>
      </c>
      <c r="DH23" s="4"/>
      <c r="DI23" s="4">
        <v>43724172</v>
      </c>
      <c r="DJ23" s="4">
        <v>31577983.5</v>
      </c>
      <c r="DK23" s="4"/>
      <c r="DL23" s="4">
        <v>2</v>
      </c>
      <c r="DM23" s="4"/>
      <c r="DN23" s="4">
        <v>2</v>
      </c>
      <c r="DO23" s="4">
        <v>2</v>
      </c>
      <c r="DP23" s="4">
        <v>34245708.5</v>
      </c>
      <c r="DQ23" s="4">
        <v>6</v>
      </c>
      <c r="DR23" s="4">
        <v>38242250.480519481</v>
      </c>
      <c r="DS23" s="4">
        <v>77</v>
      </c>
    </row>
    <row r="24" spans="1:123" x14ac:dyDescent="0.25">
      <c r="A24" s="6" t="s">
        <v>34</v>
      </c>
      <c r="B24" s="4">
        <v>52410462.666666664</v>
      </c>
      <c r="C24" s="4"/>
      <c r="D24" s="4"/>
      <c r="E24" s="4">
        <v>46117521.5</v>
      </c>
      <c r="F24" s="4">
        <v>48038671.5</v>
      </c>
      <c r="G24" s="4">
        <v>32305952</v>
      </c>
      <c r="H24" s="4">
        <v>3</v>
      </c>
      <c r="I24" s="4"/>
      <c r="J24" s="4"/>
      <c r="K24" s="4">
        <v>2</v>
      </c>
      <c r="L24" s="4">
        <v>4</v>
      </c>
      <c r="M24" s="4">
        <v>3</v>
      </c>
      <c r="N24" s="11">
        <v>44878247.75</v>
      </c>
      <c r="O24" s="11">
        <v>12</v>
      </c>
      <c r="P24" s="4"/>
      <c r="Q24" s="4">
        <v>43517646</v>
      </c>
      <c r="R24" s="4">
        <v>12748585</v>
      </c>
      <c r="S24" s="4">
        <v>49098897.666666664</v>
      </c>
      <c r="T24" s="4">
        <v>45031333.25</v>
      </c>
      <c r="U24" s="4">
        <v>46145679</v>
      </c>
      <c r="V24" s="4"/>
      <c r="W24" s="4">
        <v>4</v>
      </c>
      <c r="X24" s="4">
        <v>1</v>
      </c>
      <c r="Y24" s="4">
        <v>3</v>
      </c>
      <c r="Z24" s="4">
        <v>4</v>
      </c>
      <c r="AA24" s="4">
        <v>1</v>
      </c>
      <c r="AB24" s="4">
        <v>43106682.615384616</v>
      </c>
      <c r="AC24" s="4">
        <v>13</v>
      </c>
      <c r="AD24" s="4"/>
      <c r="AE24" s="4">
        <v>16308406</v>
      </c>
      <c r="AF24" s="4"/>
      <c r="AG24" s="4">
        <v>30122898</v>
      </c>
      <c r="AH24" s="4"/>
      <c r="AI24" s="4">
        <v>55203019</v>
      </c>
      <c r="AJ24" s="4"/>
      <c r="AK24" s="4">
        <v>1</v>
      </c>
      <c r="AL24" s="4"/>
      <c r="AM24" s="4">
        <v>1</v>
      </c>
      <c r="AN24" s="4"/>
      <c r="AO24" s="4">
        <v>1</v>
      </c>
      <c r="AP24" s="4">
        <v>33878107.666666664</v>
      </c>
      <c r="AQ24" s="4">
        <v>3</v>
      </c>
      <c r="AR24" s="4">
        <v>21726958</v>
      </c>
      <c r="AS24" s="4">
        <v>46823748.666666664</v>
      </c>
      <c r="AT24" s="4">
        <v>22718952</v>
      </c>
      <c r="AU24" s="4">
        <v>42894158</v>
      </c>
      <c r="AV24" s="4">
        <v>27127803</v>
      </c>
      <c r="AW24" s="4">
        <v>52687130.75</v>
      </c>
      <c r="AX24" s="4">
        <v>4</v>
      </c>
      <c r="AY24" s="4">
        <v>6</v>
      </c>
      <c r="AZ24" s="4">
        <v>1</v>
      </c>
      <c r="BA24" s="4">
        <v>2</v>
      </c>
      <c r="BB24" s="4">
        <v>2</v>
      </c>
      <c r="BC24" s="4">
        <v>4</v>
      </c>
      <c r="BD24" s="4">
        <v>39019037.947368421</v>
      </c>
      <c r="BE24" s="4">
        <v>19</v>
      </c>
      <c r="BF24" s="4">
        <v>20741595.5</v>
      </c>
      <c r="BG24" s="4">
        <v>42443575</v>
      </c>
      <c r="BH24" s="4"/>
      <c r="BI24" s="4">
        <v>45875687.5</v>
      </c>
      <c r="BJ24" s="4">
        <v>53269309</v>
      </c>
      <c r="BK24" s="4"/>
      <c r="BL24" s="4">
        <v>2</v>
      </c>
      <c r="BM24" s="4">
        <v>2</v>
      </c>
      <c r="BN24" s="4"/>
      <c r="BO24" s="4">
        <v>4</v>
      </c>
      <c r="BP24" s="4">
        <v>1</v>
      </c>
      <c r="BQ24" s="4"/>
      <c r="BR24" s="4">
        <v>40349155.555555552</v>
      </c>
      <c r="BS24" s="4">
        <v>9</v>
      </c>
      <c r="BT24" s="4">
        <v>38578445</v>
      </c>
      <c r="BU24" s="4"/>
      <c r="BV24" s="4">
        <v>65970852</v>
      </c>
      <c r="BW24" s="4">
        <v>26142162</v>
      </c>
      <c r="BX24" s="4">
        <v>20114713.5</v>
      </c>
      <c r="BY24" s="4">
        <v>41960575.5</v>
      </c>
      <c r="BZ24" s="4">
        <v>2</v>
      </c>
      <c r="CA24" s="4"/>
      <c r="CB24" s="4">
        <v>1</v>
      </c>
      <c r="CC24" s="4">
        <v>1</v>
      </c>
      <c r="CD24" s="4">
        <v>4</v>
      </c>
      <c r="CE24" s="4">
        <v>2</v>
      </c>
      <c r="CF24" s="4">
        <v>33364990.899999999</v>
      </c>
      <c r="CG24" s="4">
        <v>10</v>
      </c>
      <c r="CH24" s="4">
        <v>47788880</v>
      </c>
      <c r="CI24" s="4">
        <v>27414248.5</v>
      </c>
      <c r="CJ24" s="4">
        <v>23059343</v>
      </c>
      <c r="CK24" s="4">
        <v>54835625</v>
      </c>
      <c r="CL24" s="4"/>
      <c r="CM24" s="4">
        <v>22741137</v>
      </c>
      <c r="CN24" s="4">
        <v>2</v>
      </c>
      <c r="CO24" s="4">
        <v>2</v>
      </c>
      <c r="CP24" s="4">
        <v>1</v>
      </c>
      <c r="CQ24" s="4">
        <v>1</v>
      </c>
      <c r="CR24" s="4"/>
      <c r="CS24" s="4">
        <v>1</v>
      </c>
      <c r="CT24" s="4">
        <v>35863194.571428575</v>
      </c>
      <c r="CU24" s="4">
        <v>7</v>
      </c>
      <c r="CV24" s="4"/>
      <c r="CW24" s="4">
        <v>59891555</v>
      </c>
      <c r="CX24" s="4"/>
      <c r="CY24" s="4">
        <v>41197196.5</v>
      </c>
      <c r="CZ24" s="4"/>
      <c r="DA24" s="4">
        <v>1</v>
      </c>
      <c r="DB24" s="4"/>
      <c r="DC24" s="4">
        <v>2</v>
      </c>
      <c r="DD24" s="4">
        <v>47428649.333333336</v>
      </c>
      <c r="DE24" s="4">
        <v>3</v>
      </c>
      <c r="DF24" s="4">
        <v>27261466</v>
      </c>
      <c r="DG24" s="4"/>
      <c r="DH24" s="4">
        <v>38027221.75</v>
      </c>
      <c r="DI24" s="4">
        <v>32996976</v>
      </c>
      <c r="DJ24" s="4">
        <v>42984305</v>
      </c>
      <c r="DK24" s="4">
        <v>2</v>
      </c>
      <c r="DL24" s="4"/>
      <c r="DM24" s="4">
        <v>4</v>
      </c>
      <c r="DN24" s="4">
        <v>1</v>
      </c>
      <c r="DO24" s="4">
        <v>1</v>
      </c>
      <c r="DP24" s="4">
        <v>35326637.5</v>
      </c>
      <c r="DQ24" s="4">
        <v>8</v>
      </c>
      <c r="DR24" s="4">
        <v>39460185.833333336</v>
      </c>
      <c r="DS24" s="4">
        <v>84</v>
      </c>
    </row>
    <row r="25" spans="1:123" x14ac:dyDescent="0.25">
      <c r="A25" s="6" t="s">
        <v>28</v>
      </c>
      <c r="B25" s="4">
        <v>47735781.25</v>
      </c>
      <c r="C25" s="4">
        <v>26192606</v>
      </c>
      <c r="D25" s="4">
        <v>15123765</v>
      </c>
      <c r="E25" s="4">
        <v>43184542.111111112</v>
      </c>
      <c r="F25" s="4">
        <v>47018285.777777776</v>
      </c>
      <c r="G25" s="4">
        <v>35222791</v>
      </c>
      <c r="H25" s="4">
        <v>8</v>
      </c>
      <c r="I25" s="4">
        <v>7</v>
      </c>
      <c r="J25" s="4">
        <v>1</v>
      </c>
      <c r="K25" s="4">
        <v>9</v>
      </c>
      <c r="L25" s="4">
        <v>9</v>
      </c>
      <c r="M25" s="4">
        <v>11</v>
      </c>
      <c r="N25" s="11">
        <v>39547431.311111107</v>
      </c>
      <c r="O25" s="11">
        <v>45</v>
      </c>
      <c r="P25" s="4">
        <v>47720907.555555552</v>
      </c>
      <c r="Q25" s="4">
        <v>40033819.133333333</v>
      </c>
      <c r="R25" s="4">
        <v>32026099</v>
      </c>
      <c r="S25" s="4">
        <v>41801480.538461536</v>
      </c>
      <c r="T25" s="4">
        <v>40310973.75</v>
      </c>
      <c r="U25" s="4">
        <v>38150018.799999997</v>
      </c>
      <c r="V25" s="4">
        <v>9</v>
      </c>
      <c r="W25" s="4">
        <v>15</v>
      </c>
      <c r="X25" s="4">
        <v>2</v>
      </c>
      <c r="Y25" s="4">
        <v>13</v>
      </c>
      <c r="Z25" s="4">
        <v>8</v>
      </c>
      <c r="AA25" s="4">
        <v>10</v>
      </c>
      <c r="AB25" s="4">
        <v>41078155.754385963</v>
      </c>
      <c r="AC25" s="4">
        <v>57</v>
      </c>
      <c r="AD25" s="4">
        <v>59925268</v>
      </c>
      <c r="AE25" s="4">
        <v>16308406</v>
      </c>
      <c r="AF25" s="4">
        <v>30835954</v>
      </c>
      <c r="AG25" s="4">
        <v>25948954.25</v>
      </c>
      <c r="AH25" s="4">
        <v>52905261</v>
      </c>
      <c r="AI25" s="4">
        <v>32903826.666666668</v>
      </c>
      <c r="AJ25" s="4">
        <v>1</v>
      </c>
      <c r="AK25" s="4">
        <v>1</v>
      </c>
      <c r="AL25" s="4">
        <v>1</v>
      </c>
      <c r="AM25" s="4">
        <v>4</v>
      </c>
      <c r="AN25" s="4">
        <v>2</v>
      </c>
      <c r="AO25" s="4">
        <v>3</v>
      </c>
      <c r="AP25" s="4">
        <v>34615620.583333336</v>
      </c>
      <c r="AQ25" s="4">
        <v>12</v>
      </c>
      <c r="AR25" s="4">
        <v>32958158.166666668</v>
      </c>
      <c r="AS25" s="4">
        <v>39180675.636363633</v>
      </c>
      <c r="AT25" s="4">
        <v>22718952</v>
      </c>
      <c r="AU25" s="4">
        <v>40084011.083333336</v>
      </c>
      <c r="AV25" s="4">
        <v>41671399.866666667</v>
      </c>
      <c r="AW25" s="4">
        <v>36134800.875</v>
      </c>
      <c r="AX25" s="4">
        <v>12</v>
      </c>
      <c r="AY25" s="4">
        <v>11</v>
      </c>
      <c r="AZ25" s="4">
        <v>1</v>
      </c>
      <c r="BA25" s="4">
        <v>12</v>
      </c>
      <c r="BB25" s="4">
        <v>15</v>
      </c>
      <c r="BC25" s="4">
        <v>16</v>
      </c>
      <c r="BD25" s="4">
        <v>37812540.701492541</v>
      </c>
      <c r="BE25" s="4">
        <v>67</v>
      </c>
      <c r="BF25" s="4">
        <v>28427137.25</v>
      </c>
      <c r="BG25" s="4">
        <v>33420086.699999999</v>
      </c>
      <c r="BH25" s="4">
        <v>23360810.666666668</v>
      </c>
      <c r="BI25" s="4">
        <v>41091338.799999997</v>
      </c>
      <c r="BJ25" s="4">
        <v>46986362.399999999</v>
      </c>
      <c r="BK25" s="4">
        <v>22626013.666666668</v>
      </c>
      <c r="BL25" s="4">
        <v>4</v>
      </c>
      <c r="BM25" s="4">
        <v>10</v>
      </c>
      <c r="BN25" s="4">
        <v>3</v>
      </c>
      <c r="BO25" s="4">
        <v>10</v>
      </c>
      <c r="BP25" s="4">
        <v>5</v>
      </c>
      <c r="BQ25" s="4">
        <v>3</v>
      </c>
      <c r="BR25" s="4">
        <v>35191859.685714282</v>
      </c>
      <c r="BS25" s="4">
        <v>35</v>
      </c>
      <c r="BT25" s="4">
        <v>33444592</v>
      </c>
      <c r="BU25" s="4">
        <v>37028488.600000001</v>
      </c>
      <c r="BV25" s="4">
        <v>65970852</v>
      </c>
      <c r="BW25" s="4">
        <v>35367773.666666664</v>
      </c>
      <c r="BX25" s="4">
        <v>30692965.375</v>
      </c>
      <c r="BY25" s="4">
        <v>44205727.799999997</v>
      </c>
      <c r="BZ25" s="4">
        <v>4</v>
      </c>
      <c r="CA25" s="4">
        <v>5</v>
      </c>
      <c r="CB25" s="4">
        <v>1</v>
      </c>
      <c r="CC25" s="4">
        <v>6</v>
      </c>
      <c r="CD25" s="4">
        <v>8</v>
      </c>
      <c r="CE25" s="4">
        <v>5</v>
      </c>
      <c r="CF25" s="4">
        <v>36678298.862068966</v>
      </c>
      <c r="CG25" s="4">
        <v>29</v>
      </c>
      <c r="CH25" s="4">
        <v>41555927.25</v>
      </c>
      <c r="CI25" s="4">
        <v>28184303</v>
      </c>
      <c r="CJ25" s="4">
        <v>38048156.5</v>
      </c>
      <c r="CK25" s="4">
        <v>47782356.333333336</v>
      </c>
      <c r="CL25" s="4">
        <v>22615796.5</v>
      </c>
      <c r="CM25" s="4">
        <v>42740993</v>
      </c>
      <c r="CN25" s="4">
        <v>8</v>
      </c>
      <c r="CO25" s="4">
        <v>4</v>
      </c>
      <c r="CP25" s="4">
        <v>2</v>
      </c>
      <c r="CQ25" s="4">
        <v>3</v>
      </c>
      <c r="CR25" s="4">
        <v>2</v>
      </c>
      <c r="CS25" s="4">
        <v>2</v>
      </c>
      <c r="CT25" s="4">
        <v>37873409.095238097</v>
      </c>
      <c r="CU25" s="4">
        <v>21</v>
      </c>
      <c r="CV25" s="4">
        <v>32921090</v>
      </c>
      <c r="CW25" s="4">
        <v>50898575.333333336</v>
      </c>
      <c r="CX25" s="4">
        <v>64205697</v>
      </c>
      <c r="CY25" s="4">
        <v>42074625.25</v>
      </c>
      <c r="CZ25" s="4">
        <v>2</v>
      </c>
      <c r="DA25" s="4">
        <v>3</v>
      </c>
      <c r="DB25" s="4">
        <v>1</v>
      </c>
      <c r="DC25" s="4">
        <v>4</v>
      </c>
      <c r="DD25" s="4">
        <v>45104210.399999999</v>
      </c>
      <c r="DE25" s="4">
        <v>10</v>
      </c>
      <c r="DF25" s="4">
        <v>29020442.75</v>
      </c>
      <c r="DG25" s="4">
        <v>39719353</v>
      </c>
      <c r="DH25" s="4">
        <v>38477676.5</v>
      </c>
      <c r="DI25" s="4">
        <v>40148440</v>
      </c>
      <c r="DJ25" s="4">
        <v>29877002.5</v>
      </c>
      <c r="DK25" s="4">
        <v>4</v>
      </c>
      <c r="DL25" s="4">
        <v>5</v>
      </c>
      <c r="DM25" s="4">
        <v>8</v>
      </c>
      <c r="DN25" s="4">
        <v>3</v>
      </c>
      <c r="DO25" s="4">
        <v>4</v>
      </c>
      <c r="DP25" s="4">
        <v>35935553.25</v>
      </c>
      <c r="DQ25" s="4">
        <v>24</v>
      </c>
      <c r="DR25" s="4">
        <v>38247132.299999997</v>
      </c>
      <c r="DS25" s="4">
        <v>300</v>
      </c>
    </row>
    <row r="27" spans="1:123" x14ac:dyDescent="0.25">
      <c r="A27" s="5" t="s">
        <v>27</v>
      </c>
      <c r="B27" t="s">
        <v>29</v>
      </c>
      <c r="C27" s="17"/>
    </row>
    <row r="28" spans="1:123" x14ac:dyDescent="0.25">
      <c r="A28" s="6" t="s">
        <v>20</v>
      </c>
      <c r="B28" s="32">
        <v>2028655870</v>
      </c>
    </row>
    <row r="29" spans="1:123" x14ac:dyDescent="0.25">
      <c r="A29" s="6" t="s">
        <v>24</v>
      </c>
      <c r="B29" s="32">
        <v>2061828654</v>
      </c>
    </row>
    <row r="30" spans="1:123" x14ac:dyDescent="0.25">
      <c r="A30" s="6" t="s">
        <v>25</v>
      </c>
      <c r="B30" s="32">
        <v>344880466</v>
      </c>
    </row>
    <row r="31" spans="1:123" x14ac:dyDescent="0.25">
      <c r="A31" s="6" t="s">
        <v>21</v>
      </c>
      <c r="B31" s="32">
        <v>2743868313</v>
      </c>
    </row>
    <row r="32" spans="1:123" x14ac:dyDescent="0.25">
      <c r="A32" s="6" t="s">
        <v>22</v>
      </c>
      <c r="B32" s="32">
        <v>2186892027</v>
      </c>
    </row>
    <row r="33" spans="1:11" x14ac:dyDescent="0.25">
      <c r="A33" s="6" t="s">
        <v>23</v>
      </c>
      <c r="B33" s="32">
        <v>2108014360</v>
      </c>
    </row>
    <row r="34" spans="1:11" x14ac:dyDescent="0.25">
      <c r="A34" s="6" t="s">
        <v>28</v>
      </c>
      <c r="B34" s="32">
        <v>11474139690</v>
      </c>
    </row>
    <row r="37" spans="1:11" x14ac:dyDescent="0.25">
      <c r="A37" s="5" t="s">
        <v>29</v>
      </c>
      <c r="B37" s="5" t="s">
        <v>30</v>
      </c>
    </row>
    <row r="38" spans="1:11" x14ac:dyDescent="0.25">
      <c r="A38" s="5" t="s">
        <v>27</v>
      </c>
      <c r="B38" s="17" t="s">
        <v>15</v>
      </c>
      <c r="C38" s="17" t="s">
        <v>12</v>
      </c>
      <c r="D38" s="17" t="s">
        <v>8</v>
      </c>
      <c r="E38" s="17" t="s">
        <v>14</v>
      </c>
      <c r="F38" s="17" t="s">
        <v>7</v>
      </c>
      <c r="G38" s="17" t="s">
        <v>5</v>
      </c>
      <c r="H38" s="17" t="s">
        <v>10</v>
      </c>
      <c r="I38" s="17" t="s">
        <v>3</v>
      </c>
      <c r="J38" s="17" t="s">
        <v>9</v>
      </c>
      <c r="K38" s="17" t="s">
        <v>28</v>
      </c>
    </row>
    <row r="39" spans="1:11" x14ac:dyDescent="0.25">
      <c r="A39" s="6" t="s">
        <v>31</v>
      </c>
      <c r="B39" s="11">
        <v>518567687</v>
      </c>
      <c r="C39" s="11">
        <v>260822316</v>
      </c>
      <c r="D39" s="11">
        <v>81413444</v>
      </c>
      <c r="E39" s="11">
        <v>515388105</v>
      </c>
      <c r="F39" s="11">
        <v>310516449</v>
      </c>
      <c r="G39" s="11">
        <v>355573184</v>
      </c>
      <c r="H39" s="11">
        <v>34482169</v>
      </c>
      <c r="I39" s="11">
        <v>92804171</v>
      </c>
      <c r="J39" s="11">
        <v>233210160</v>
      </c>
      <c r="K39" s="11">
        <v>2402777685</v>
      </c>
    </row>
    <row r="40" spans="1:11" x14ac:dyDescent="0.25">
      <c r="A40" s="6" t="s">
        <v>32</v>
      </c>
      <c r="B40" s="11">
        <v>363667508</v>
      </c>
      <c r="C40" s="11">
        <v>717685004</v>
      </c>
      <c r="D40" s="11">
        <v>93307140</v>
      </c>
      <c r="E40" s="11">
        <v>615605620</v>
      </c>
      <c r="F40" s="11">
        <v>306253448</v>
      </c>
      <c r="G40" s="11">
        <v>130873041</v>
      </c>
      <c r="H40" s="11">
        <v>379299883</v>
      </c>
      <c r="I40" s="11">
        <v>64205697</v>
      </c>
      <c r="J40" s="11">
        <v>141155767</v>
      </c>
      <c r="K40" s="11">
        <v>2812053108</v>
      </c>
    </row>
    <row r="41" spans="1:11" x14ac:dyDescent="0.25">
      <c r="A41" s="6" t="s">
        <v>33</v>
      </c>
      <c r="B41" s="11">
        <v>358860241</v>
      </c>
      <c r="C41" s="11">
        <v>802560684</v>
      </c>
      <c r="D41" s="11">
        <v>139032540</v>
      </c>
      <c r="E41" s="11">
        <v>661084781</v>
      </c>
      <c r="F41" s="11">
        <v>251802792</v>
      </c>
      <c r="G41" s="11">
        <v>243574533</v>
      </c>
      <c r="H41" s="11">
        <v>130517177</v>
      </c>
      <c r="I41" s="11">
        <v>151746288</v>
      </c>
      <c r="J41" s="11">
        <v>205474251</v>
      </c>
      <c r="K41" s="11">
        <v>2944653287</v>
      </c>
    </row>
    <row r="42" spans="1:11" x14ac:dyDescent="0.25">
      <c r="A42" s="6" t="s">
        <v>34</v>
      </c>
      <c r="B42" s="11">
        <v>538538973</v>
      </c>
      <c r="C42" s="11">
        <v>560386874</v>
      </c>
      <c r="D42" s="11">
        <v>101634323</v>
      </c>
      <c r="E42" s="11">
        <v>741361721</v>
      </c>
      <c r="F42" s="11">
        <v>363142400</v>
      </c>
      <c r="G42" s="11">
        <v>333649909</v>
      </c>
      <c r="H42" s="11">
        <v>251042362</v>
      </c>
      <c r="I42" s="11">
        <v>142285948</v>
      </c>
      <c r="J42" s="11">
        <v>282613100</v>
      </c>
      <c r="K42" s="11">
        <v>3314655610</v>
      </c>
    </row>
    <row r="43" spans="1:11" x14ac:dyDescent="0.25">
      <c r="A43" s="6" t="s">
        <v>28</v>
      </c>
      <c r="B43" s="11">
        <v>1779634409</v>
      </c>
      <c r="C43" s="11">
        <v>2341454878</v>
      </c>
      <c r="D43" s="11">
        <v>415387447</v>
      </c>
      <c r="E43" s="11">
        <v>2533440227</v>
      </c>
      <c r="F43" s="11">
        <v>1231715089</v>
      </c>
      <c r="G43" s="11">
        <v>1063670667</v>
      </c>
      <c r="H43" s="11">
        <v>795341591</v>
      </c>
      <c r="I43" s="11">
        <v>451042104</v>
      </c>
      <c r="J43" s="11">
        <v>862453278</v>
      </c>
      <c r="K43" s="11">
        <v>11474139690</v>
      </c>
    </row>
    <row r="49" spans="1:11" x14ac:dyDescent="0.25">
      <c r="A49" s="5" t="s">
        <v>36</v>
      </c>
      <c r="B49" s="5" t="s">
        <v>30</v>
      </c>
    </row>
    <row r="50" spans="1:11" x14ac:dyDescent="0.25">
      <c r="A50" s="5" t="s">
        <v>27</v>
      </c>
      <c r="B50" s="17" t="s">
        <v>15</v>
      </c>
      <c r="C50" s="17" t="s">
        <v>12</v>
      </c>
      <c r="D50" s="17" t="s">
        <v>8</v>
      </c>
      <c r="E50" s="17" t="s">
        <v>14</v>
      </c>
      <c r="F50" s="17" t="s">
        <v>7</v>
      </c>
      <c r="G50" s="17" t="s">
        <v>5</v>
      </c>
      <c r="H50" s="17" t="s">
        <v>10</v>
      </c>
      <c r="I50" s="17" t="s">
        <v>3</v>
      </c>
      <c r="J50" s="17" t="s">
        <v>9</v>
      </c>
      <c r="K50" s="17" t="s">
        <v>28</v>
      </c>
    </row>
    <row r="51" spans="1:11" x14ac:dyDescent="0.25">
      <c r="A51" s="6" t="s">
        <v>31</v>
      </c>
      <c r="B51" s="4">
        <v>13</v>
      </c>
      <c r="C51" s="4">
        <v>8</v>
      </c>
      <c r="D51" s="4">
        <v>2</v>
      </c>
      <c r="E51" s="4">
        <v>12</v>
      </c>
      <c r="F51" s="4">
        <v>8</v>
      </c>
      <c r="G51" s="4">
        <v>8</v>
      </c>
      <c r="H51" s="4">
        <v>1</v>
      </c>
      <c r="I51" s="4">
        <v>2</v>
      </c>
      <c r="J51" s="4">
        <v>5</v>
      </c>
      <c r="K51" s="4">
        <v>59</v>
      </c>
    </row>
    <row r="52" spans="1:11" x14ac:dyDescent="0.25">
      <c r="A52" s="6" t="s">
        <v>32</v>
      </c>
      <c r="B52" s="4">
        <v>9</v>
      </c>
      <c r="C52" s="4">
        <v>20</v>
      </c>
      <c r="D52" s="4">
        <v>3</v>
      </c>
      <c r="E52" s="4">
        <v>18</v>
      </c>
      <c r="F52" s="4">
        <v>10</v>
      </c>
      <c r="G52" s="4">
        <v>4</v>
      </c>
      <c r="H52" s="4">
        <v>10</v>
      </c>
      <c r="I52" s="4">
        <v>1</v>
      </c>
      <c r="J52" s="4">
        <v>5</v>
      </c>
      <c r="K52" s="4">
        <v>80</v>
      </c>
    </row>
    <row r="53" spans="1:11" x14ac:dyDescent="0.25">
      <c r="A53" s="6" t="s">
        <v>33</v>
      </c>
      <c r="B53" s="4">
        <v>11</v>
      </c>
      <c r="C53" s="4">
        <v>16</v>
      </c>
      <c r="D53" s="4">
        <v>4</v>
      </c>
      <c r="E53" s="4">
        <v>18</v>
      </c>
      <c r="F53" s="4">
        <v>8</v>
      </c>
      <c r="G53" s="4">
        <v>7</v>
      </c>
      <c r="H53" s="4">
        <v>3</v>
      </c>
      <c r="I53" s="4">
        <v>4</v>
      </c>
      <c r="J53" s="4">
        <v>6</v>
      </c>
      <c r="K53" s="4">
        <v>77</v>
      </c>
    </row>
    <row r="54" spans="1:11" x14ac:dyDescent="0.25">
      <c r="A54" s="6" t="s">
        <v>34</v>
      </c>
      <c r="B54" s="4">
        <v>12</v>
      </c>
      <c r="C54" s="4">
        <v>13</v>
      </c>
      <c r="D54" s="4">
        <v>3</v>
      </c>
      <c r="E54" s="4">
        <v>19</v>
      </c>
      <c r="F54" s="4">
        <v>9</v>
      </c>
      <c r="G54" s="4">
        <v>10</v>
      </c>
      <c r="H54" s="4">
        <v>7</v>
      </c>
      <c r="I54" s="4">
        <v>3</v>
      </c>
      <c r="J54" s="4">
        <v>8</v>
      </c>
      <c r="K54" s="4">
        <v>84</v>
      </c>
    </row>
    <row r="55" spans="1:11" x14ac:dyDescent="0.25">
      <c r="A55" s="6" t="s">
        <v>28</v>
      </c>
      <c r="B55" s="4">
        <v>45</v>
      </c>
      <c r="C55" s="4">
        <v>57</v>
      </c>
      <c r="D55" s="4">
        <v>12</v>
      </c>
      <c r="E55" s="4">
        <v>67</v>
      </c>
      <c r="F55" s="4">
        <v>35</v>
      </c>
      <c r="G55" s="4">
        <v>29</v>
      </c>
      <c r="H55" s="4">
        <v>21</v>
      </c>
      <c r="I55" s="4">
        <v>10</v>
      </c>
      <c r="J55" s="4">
        <v>24</v>
      </c>
      <c r="K55" s="4">
        <v>300</v>
      </c>
    </row>
    <row r="57" spans="1:11" x14ac:dyDescent="0.25">
      <c r="A57" s="5" t="s">
        <v>35</v>
      </c>
      <c r="B57" s="5" t="s">
        <v>30</v>
      </c>
    </row>
    <row r="58" spans="1:11" x14ac:dyDescent="0.25">
      <c r="A58" s="5" t="s">
        <v>27</v>
      </c>
      <c r="B58" s="17" t="s">
        <v>15</v>
      </c>
      <c r="C58" s="17" t="s">
        <v>12</v>
      </c>
      <c r="D58" s="17" t="s">
        <v>8</v>
      </c>
      <c r="E58" s="17" t="s">
        <v>14</v>
      </c>
      <c r="F58" s="17" t="s">
        <v>7</v>
      </c>
      <c r="G58" s="17" t="s">
        <v>5</v>
      </c>
      <c r="H58" s="17" t="s">
        <v>10</v>
      </c>
      <c r="I58" s="17" t="s">
        <v>3</v>
      </c>
      <c r="J58" s="17" t="s">
        <v>9</v>
      </c>
      <c r="K58" s="17" t="s">
        <v>28</v>
      </c>
    </row>
    <row r="59" spans="1:11" x14ac:dyDescent="0.25">
      <c r="A59" s="6" t="s">
        <v>31</v>
      </c>
      <c r="B59" s="11">
        <v>39889822.07692308</v>
      </c>
      <c r="C59" s="11">
        <v>32602789.5</v>
      </c>
      <c r="D59" s="11">
        <v>40706722</v>
      </c>
      <c r="E59" s="11">
        <v>42949008.75</v>
      </c>
      <c r="F59" s="11">
        <v>38814556.125</v>
      </c>
      <c r="G59" s="11">
        <v>44446648</v>
      </c>
      <c r="H59" s="11">
        <v>34482169</v>
      </c>
      <c r="I59" s="11">
        <v>46402085.5</v>
      </c>
      <c r="J59" s="11">
        <v>46642032</v>
      </c>
      <c r="K59" s="11">
        <v>40725045.508474573</v>
      </c>
    </row>
    <row r="60" spans="1:11" x14ac:dyDescent="0.25">
      <c r="A60" s="6" t="s">
        <v>32</v>
      </c>
      <c r="B60" s="11">
        <v>40407500.888888888</v>
      </c>
      <c r="C60" s="11">
        <v>35884250.200000003</v>
      </c>
      <c r="D60" s="11">
        <v>31102380</v>
      </c>
      <c r="E60" s="11">
        <v>34200312.222222224</v>
      </c>
      <c r="F60" s="11">
        <v>30625344.800000001</v>
      </c>
      <c r="G60" s="11">
        <v>32718260.25</v>
      </c>
      <c r="H60" s="11">
        <v>37929988.299999997</v>
      </c>
      <c r="I60" s="11">
        <v>64205697</v>
      </c>
      <c r="J60" s="11">
        <v>28231153.399999999</v>
      </c>
      <c r="K60" s="11">
        <v>35150663.850000001</v>
      </c>
    </row>
    <row r="61" spans="1:11" x14ac:dyDescent="0.25">
      <c r="A61" s="6" t="s">
        <v>33</v>
      </c>
      <c r="B61" s="11">
        <v>32623658.272727273</v>
      </c>
      <c r="C61" s="11">
        <v>50160042.75</v>
      </c>
      <c r="D61" s="11">
        <v>34758135</v>
      </c>
      <c r="E61" s="11">
        <v>36726932.277777776</v>
      </c>
      <c r="F61" s="11">
        <v>31475349</v>
      </c>
      <c r="G61" s="11">
        <v>34796361.857142858</v>
      </c>
      <c r="H61" s="11">
        <v>43505725.666666664</v>
      </c>
      <c r="I61" s="11">
        <v>37936572</v>
      </c>
      <c r="J61" s="11">
        <v>34245708.5</v>
      </c>
      <c r="K61" s="11">
        <v>38242250.480519481</v>
      </c>
    </row>
    <row r="62" spans="1:11" x14ac:dyDescent="0.25">
      <c r="A62" s="6" t="s">
        <v>34</v>
      </c>
      <c r="B62" s="11">
        <v>44878247.75</v>
      </c>
      <c r="C62" s="11">
        <v>43106682.615384616</v>
      </c>
      <c r="D62" s="11">
        <v>33878107.666666664</v>
      </c>
      <c r="E62" s="11">
        <v>39019037.947368421</v>
      </c>
      <c r="F62" s="11">
        <v>40349155.555555552</v>
      </c>
      <c r="G62" s="11">
        <v>33364990.899999999</v>
      </c>
      <c r="H62" s="11">
        <v>35863194.571428575</v>
      </c>
      <c r="I62" s="11">
        <v>47428649.333333336</v>
      </c>
      <c r="J62" s="11">
        <v>35326637.5</v>
      </c>
      <c r="K62" s="11">
        <v>39460185.833333336</v>
      </c>
    </row>
    <row r="63" spans="1:11" x14ac:dyDescent="0.25">
      <c r="A63" s="6" t="s">
        <v>28</v>
      </c>
      <c r="B63" s="11">
        <v>39547431.311111107</v>
      </c>
      <c r="C63" s="11">
        <v>41078155.754385963</v>
      </c>
      <c r="D63" s="11">
        <v>34615620.583333336</v>
      </c>
      <c r="E63" s="11">
        <v>37812540.701492541</v>
      </c>
      <c r="F63" s="11">
        <v>35191859.685714282</v>
      </c>
      <c r="G63" s="11">
        <v>36678298.862068966</v>
      </c>
      <c r="H63" s="11">
        <v>37873409.095238097</v>
      </c>
      <c r="I63" s="11">
        <v>45104210.399999999</v>
      </c>
      <c r="J63" s="11">
        <v>35935553.25</v>
      </c>
      <c r="K63" s="11">
        <v>38247132.299999997</v>
      </c>
    </row>
  </sheetData>
  <conditionalFormatting pivot="1" sqref="B4:B13">
    <cfRule type="cellIs" dxfId="65" priority="14" stopIfTrue="1" operator="greaterThan">
      <formula>40000000</formula>
    </cfRule>
  </conditionalFormatting>
  <conditionalFormatting pivot="1" sqref="B4:B13">
    <cfRule type="cellIs" dxfId="64" priority="13" stopIfTrue="1" operator="lessThan">
      <formula>40000000</formula>
    </cfRule>
  </conditionalFormatting>
  <conditionalFormatting pivot="1" sqref="N21:N25 AB21:AB25 AP21:AP25 BD21:BD25 BR21:BR25 CF21:CF25 CT21:CT25 DD21:DD25 DP21:DP25 DR21:DR25">
    <cfRule type="cellIs" dxfId="63" priority="12" stopIfTrue="1" operator="greaterThan">
      <formula>40000000</formula>
    </cfRule>
  </conditionalFormatting>
  <conditionalFormatting pivot="1" sqref="N21:N25 AB21:AB25 AP21:AP25 BD21:BD25 BR21:BR25 CF21:CF25 CT21:CT25 DD21:DD25 DP21:DP25 DR21:DR25">
    <cfRule type="cellIs" dxfId="62" priority="11" stopIfTrue="1" operator="lessThan">
      <formula>40000000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403088-D1F6-4262-9F96-F2A4122F59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1</vt:i4>
      </vt:variant>
    </vt:vector>
  </HeadingPairs>
  <TitlesOfParts>
    <vt:vector size="7" baseType="lpstr">
      <vt:lpstr>Asesores</vt:lpstr>
      <vt:lpstr>Ventas</vt:lpstr>
      <vt:lpstr>Dashboard</vt:lpstr>
      <vt:lpstr>Formularios</vt:lpstr>
      <vt:lpstr>Hoja1</vt:lpstr>
      <vt:lpstr>Tablas dinamicas</vt:lpstr>
      <vt:lpstr>Gafico(punto 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Carola Leal</dc:creator>
  <cp:lastModifiedBy>DIANA CAROLINA LEAL MARTINEZ</cp:lastModifiedBy>
  <dcterms:created xsi:type="dcterms:W3CDTF">2024-08-07T15:59:40Z</dcterms:created>
  <dcterms:modified xsi:type="dcterms:W3CDTF">2024-08-09T18:09:20Z</dcterms:modified>
</cp:coreProperties>
</file>